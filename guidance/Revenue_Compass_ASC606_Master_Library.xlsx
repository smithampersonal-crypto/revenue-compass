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yden-PC\Documents\ASC 606 Revenue Recognition Project\AS Prepared Cases\"/>
    </mc:Choice>
  </mc:AlternateContent>
  <xr:revisionPtr revIDLastSave="0" documentId="13_ncr:1_{6D56FFC6-BA91-439A-B22A-964F329D76D9}" xr6:coauthVersionLast="47" xr6:coauthVersionMax="47" xr10:uidLastSave="{00000000-0000-0000-0000-000000000000}"/>
  <bookViews>
    <workbookView xWindow="-120" yWindow="-120" windowWidth="29040" windowHeight="15840" firstSheet="1" activeTab="1" xr2:uid="{00000000-000D-0000-FFFF-FFFF00000000}"/>
  </bookViews>
  <sheets>
    <sheet name="Library Guide" sheetId="1" state="hidden" r:id="rId1"/>
    <sheet name="Guidance Cards" sheetId="2" r:id="rId2"/>
    <sheet name="Sources" sheetId="3" r:id="rId3"/>
    <sheet name="Phase 5B Map" sheetId="4" state="hidden" r:id="rId4"/>
    <sheet name="Coverage" sheetId="5" state="hidden" r:id="rId5"/>
    <sheet name="Taxonomy" sheetId="6" state="hidden" r:id="rId6"/>
  </sheets>
  <definedNames>
    <definedName name="_xlnm._FilterDatabase" localSheetId="1" hidden="1">'Guidance Cards'!$A$2:$R$118</definedName>
    <definedName name="_xlnm._FilterDatabase" localSheetId="3" hidden="1">'Phase 5B Map'!$A$4:$E$18</definedName>
    <definedName name="_xlnm._FilterDatabase" localSheetId="2" hidden="1">Sources!$A$2:$G$34</definedName>
    <definedName name="_xlnm._FilterDatabase" localSheetId="5" hidden="1">Taxonomy!$A$3:$D$29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5" l="1"/>
  <c r="E9" i="5"/>
  <c r="D9" i="5"/>
  <c r="C9" i="5"/>
  <c r="B9" i="5"/>
  <c r="F8" i="5"/>
  <c r="E8" i="5"/>
  <c r="D8" i="5"/>
  <c r="C8" i="5"/>
  <c r="B8" i="5"/>
  <c r="F7" i="5"/>
  <c r="E7" i="5"/>
  <c r="D7" i="5"/>
  <c r="C7" i="5"/>
  <c r="B7" i="5"/>
  <c r="F6" i="5"/>
  <c r="E6" i="5"/>
  <c r="D6" i="5"/>
  <c r="C6" i="5"/>
  <c r="B6" i="5"/>
  <c r="F5" i="5"/>
  <c r="E5" i="5"/>
  <c r="D5" i="5"/>
  <c r="C5" i="5"/>
  <c r="B5" i="5"/>
  <c r="F4" i="5"/>
  <c r="E4" i="5"/>
  <c r="D4" i="5"/>
  <c r="C4" i="5"/>
  <c r="B4" i="5"/>
  <c r="C11" i="5" l="1"/>
  <c r="E11" i="5"/>
  <c r="B11" i="5"/>
  <c r="D11" i="5"/>
  <c r="F1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F2" authorId="0" shapeId="0" xr:uid="{00000000-0006-0000-0100-000001000000}">
      <text>
        <r>
          <rPr>
            <sz val="11"/>
            <color theme="1"/>
            <rFont val="Calibri"/>
            <family val="2"/>
            <scheme val="minor"/>
          </rPr>
          <t>Original plain-English synthesis. Verify against the cited Codification before approval.</t>
        </r>
      </text>
    </comment>
    <comment ref="H2" authorId="0" shapeId="0" xr:uid="{00000000-0006-0000-0100-000002000000}">
      <text>
        <r>
          <rPr>
            <sz val="11"/>
            <color theme="1"/>
            <rFont val="Calibri"/>
            <family val="2"/>
            <scheme val="minor"/>
          </rPr>
          <t>Facts the AI/accountant should obtain; missing facts should not be invented.</t>
        </r>
      </text>
    </comment>
    <comment ref="K2" authorId="0" shapeId="0" xr:uid="{00000000-0006-0000-0100-000003000000}">
      <text>
        <r>
          <rPr>
            <sz val="11"/>
            <color theme="1"/>
            <rFont val="Calibri"/>
            <family val="2"/>
            <scheme val="minor"/>
          </rPr>
          <t>AI proposal scope only. Not authoritative until accountant approval.</t>
        </r>
      </text>
    </comment>
    <comment ref="L2" authorId="0" shapeId="0" xr:uid="{00000000-0006-0000-0100-000004000000}">
      <text>
        <r>
          <rPr>
            <sz val="11"/>
            <color theme="1"/>
            <rFont val="Calibri"/>
            <family val="2"/>
            <scheme val="minor"/>
          </rPr>
          <t>Human-in-the-loop approval boundary.</t>
        </r>
      </text>
    </comment>
    <comment ref="M2" authorId="0" shapeId="0" xr:uid="{00000000-0006-0000-0100-000005000000}">
      <text>
        <r>
          <rPr>
            <sz val="11"/>
            <color theme="1"/>
            <rFont val="Calibri"/>
            <family val="2"/>
            <scheme val="minor"/>
          </rPr>
          <t>Product behavior after approval; this is Revenue Compass policy/control, not GAAP.</t>
        </r>
      </text>
    </comment>
    <comment ref="Q2" authorId="0" shapeId="0" xr:uid="{00000000-0006-0000-0100-000006000000}">
      <text>
        <r>
          <rPr>
            <sz val="11"/>
            <color theme="1"/>
            <rFont val="Calibri"/>
            <family val="2"/>
            <scheme val="minor"/>
          </rPr>
          <t>All cards intentionally start in Draft status.</t>
        </r>
      </text>
    </comment>
  </commentList>
</comments>
</file>

<file path=xl/sharedStrings.xml><?xml version="1.0" encoding="utf-8"?>
<sst xmlns="http://schemas.openxmlformats.org/spreadsheetml/2006/main" count="2356" uniqueCount="1818">
  <si>
    <t>Revenue Compass — ASC 606 Master Library</t>
  </si>
  <si>
    <t>AI guidance corpus + accountant study guide | Prepared 2026-09-04</t>
  </si>
  <si>
    <t>Purpose and operating principle</t>
  </si>
  <si>
    <t>Purpose</t>
  </si>
  <si>
    <t>This workbook is the controlled accounting-reference source for Revenue Compass. It is designed to help the future OpenAI layer retrieve relevant ASC 606 concepts, propose facts/judgments/rationales, and show source provenance. It is also a study guide for the project owner. It is not a substitute for reading the authoritative Codification and does not itself constitute professional accounting advice.</t>
  </si>
  <si>
    <t>Core principle</t>
  </si>
  <si>
    <t>AI interprets and proposes. The accountant reviews, edits, approves or overrides every material accounting judgment. Deterministic code performs authoritative monetary, date, allocation, catch-up, balance and journal calculations after approval.</t>
  </si>
  <si>
    <t>Status control</t>
  </si>
  <si>
    <t>Every guidance card begins as “Draft — user review required.” Change a card to Reviewed or Approved only after you have read the cited ASC paragraphs and supporting interpretation and are comfortable defending the summary. Populate Last Reviewed when that review occurs.</t>
  </si>
  <si>
    <t>Source hierarchy</t>
  </si>
  <si>
    <t>Level 1 — Authoritative</t>
  </si>
  <si>
    <t>FASB Accounting Standards Codification (ASC) paragraph references. FASB identifies the Codification as the single official source of authoritative nongovernmental U.S. GAAP. The library intentionally paraphrases rather than reproduces substantial Codification text.</t>
  </si>
  <si>
    <t>Level 2 — Interpretive</t>
  </si>
  <si>
    <t>Deloitte DART Revenue Recognition Roadmap / Technology Industry Accounting Guide and EY Financial Reporting Developments are nonauthoritative interpretive sources used to understand application and examples.</t>
  </si>
  <si>
    <t>Level 3 — Product policy</t>
  </si>
  <si>
    <t>Revenue Compass engine behavior records the project’s supported accounting mechanics and controls. Product limitations are not GAAP and should never be presented as GAAP requirements.</t>
  </si>
  <si>
    <t>How to use the Guidance Cards sheet</t>
  </si>
  <si>
    <t>One card = one decision</t>
  </si>
  <si>
    <t>Cards are organized around meaningful accounting decisions rather than one row per Codification paragraph. A card can therefore have one primary ASC reference and several related references.</t>
  </si>
  <si>
    <t>Facts Required</t>
  </si>
  <si>
    <t>Facts the AI/accountant should obtain before proposing a conclusion. Missing facts should produce “uncertain / accountant action required,” not invented assumptions.</t>
  </si>
  <si>
    <t>AI May Propose</t>
  </si>
  <si>
    <t>Defines what the AI is allowed to prepopulate. These are proposals only. Contract/source evidence should be retained with the AI draft.</t>
  </si>
  <si>
    <t>Accountant Must Approve</t>
  </si>
  <si>
    <t>Judgment fields that cannot become authoritative merely because the AI populated them.</t>
  </si>
  <si>
    <t>Engine Behavior</t>
  </si>
  <si>
    <t>What deterministic Revenue Compass code may do after the accounting judgment is approved. It deliberately separates judgment from calculation.</t>
  </si>
  <si>
    <t>Phase 5B readiness</t>
  </si>
  <si>
    <t>Variable consideration</t>
  </si>
  <si>
    <t>The workbook includes identification, expected-value and most-likely estimation, constraint, remeasurement, variable allocation exception, series-period usage, exact-ratio fixed-rate meters, SaaS/AI API examples and AR/billing separation. See “Phase 5B Map.”</t>
  </si>
  <si>
    <t>Scope boundary</t>
  </si>
  <si>
    <t>Phase 5B simple metered usage covers multiple fixed-rate amount-per-quantity meters when specific-series-period allocation is approved. Tiered pricing, annual minimum/overage constructs, cumulative volume discounts and complex true-ups are intentionally flagged for more advanced analysis rather than forced through the simple meter path.</t>
  </si>
  <si>
    <t>Recommended study sequence</t>
  </si>
  <si>
    <t>Sequence</t>
  </si>
  <si>
    <t>1. Step 1 cards 1–10
2. Step 2 cards 11–24
3. Step 3 cards 25–43, especially cards 27–34
4. Step 4 cards 44–57, especially cards 52–57
5. Step 5 cards 58–77
6. Special-topic cards 78–116
7. Review the Phase 5B Map and reperform Case 7 independently.</t>
  </si>
  <si>
    <t>Core source links</t>
  </si>
  <si>
    <t>FASB Standards</t>
  </si>
  <si>
    <t>https://www.fasb.org/standards</t>
  </si>
  <si>
    <t>FASB ASC access</t>
  </si>
  <si>
    <t>https://asc.fasb.org/</t>
  </si>
  <si>
    <t>Deloitte Revenue Recognition Roadmap</t>
  </si>
  <si>
    <t>https://dart.deloitte.com/USDART/home/codification/revenue/asc606-10/roadmap-revenue-recognition</t>
  </si>
  <si>
    <t>Deloitte Technology Industry Accounting Guide</t>
  </si>
  <si>
    <t>https://dart.deloitte.com/USDART/home/publications/deloitte/industry/technology/technology-accounting-guide</t>
  </si>
  <si>
    <t>EY Revenue FRD</t>
  </si>
  <si>
    <t>https://www.ey.com/en_us/technical/accountinglink/financial-reporting-developments---revenue-from-contracts-with-c</t>
  </si>
  <si>
    <t>Revenue Compass — ASC 606 Guidance Cards</t>
  </si>
  <si>
    <t>Item No.</t>
  </si>
  <si>
    <t>Topic</t>
  </si>
  <si>
    <t>Subtopic</t>
  </si>
  <si>
    <t>Primary ASC Reference</t>
  </si>
  <si>
    <t>Related ASC References</t>
  </si>
  <si>
    <t>Rule Summary</t>
  </si>
  <si>
    <t>Decision Criteria</t>
  </si>
  <si>
    <t>Important Nuances</t>
  </si>
  <si>
    <t>When Relevant</t>
  </si>
  <si>
    <t>Revenue Compass Engine Behavior</t>
  </si>
  <si>
    <t>Interpretive Source</t>
  </si>
  <si>
    <t>Source URL(s)</t>
  </si>
  <si>
    <t>Retrieval Tags</t>
  </si>
  <si>
    <t>Status</t>
  </si>
  <si>
    <t>Last Reviewed</t>
  </si>
  <si>
    <t>Step 1</t>
  </si>
  <si>
    <t>Contract Identification — Five Criteria</t>
  </si>
  <si>
    <t>ASC 606-10-25-1</t>
  </si>
  <si>
    <t>ASC 606-10-25-2 through 25-8</t>
  </si>
  <si>
    <t>An arrangement qualifies as a contract under ASC 606 only when the parties have approved it and are committed to perform, each party's rights and payment terms are identifiable, the arrangement has commercial substance, and collection of the consideration expected in exchange for the promised goods or services is probable.</t>
  </si>
  <si>
    <t>1. Contract is approved and parties are committed.
2. Rights to goods or services are identifiable.
3. Payment terms are identifiable.
4. The arrangement has commercial substance.
5. Collection of substantially all consideration to which the entity expects to be entitled is probable.</t>
  </si>
  <si>
    <t>Executed contract/order form; evidence of oral or customary approval; promised goods/services; payment terms; customer credit information; expected concessions; cancellation rights.</t>
  </si>
  <si>
    <t>Do not convert “probable” into a mechanical percentage threshold. Collectibility is assessed against the consideration the entity expects to be entitled to, including the effect of price concessions. Enforceability depends on applicable law.</t>
  </si>
  <si>
    <t>At contract inception and whenever Revenue Compass must determine whether Step 1 is satisfied.</t>
  </si>
  <si>
    <t>Whether each of the five criteria appears satisfied; supporting contract evidence; missing evidence; a draft overall qualifies/does-not-qualify conclusion.</t>
  </si>
  <si>
    <t>Each criterion and the final Step 1 conclusion, including collectibility and any legal-enforceability assumptions.</t>
  </si>
  <si>
    <t>Treat the five criteria as blocking conditions for finalized ASC 606 analysis. Preserve entered facts even if criteria fail; do not calculate authoritative ASC 606 revenue for a failed Step 1 contract.</t>
  </si>
  <si>
    <t>FASB ASC; Deloitte Revenue Recognition Roadmap §4.3</t>
  </si>
  <si>
    <t>https://asc.fasb.org/
https://dart.deloitte.com/USDART/home/codification/revenue/asc606-10/roadmap-revenue-recognition/chapter-4-step-1-identify-contract/4-3-criteria-for-identifying-a</t>
  </si>
  <si>
    <t>step1, contract criteria, approval, rights, payment terms, commercial substance, collectibility</t>
  </si>
  <si>
    <t>Enforceable Rights and Obligations</t>
  </si>
  <si>
    <t>ASC 606-10-25-2</t>
  </si>
  <si>
    <t>ASC 606-10-25-1; ASC 606-10-25-3 through 25-4</t>
  </si>
  <si>
    <t>A contract may be written, oral, or implied by customary business practices, but ASC 606 applies only to the period in which enforceable rights and obligations exist.</t>
  </si>
  <si>
    <t>1. Identify the form of the agreement.
2. Determine whether enforceable rights and obligations exist under applicable law.
3. Identify any provisions that make promises or payment rights unenforceable.</t>
  </si>
  <si>
    <t>Contract form; governing law; signatures/approvals; customary practices; purchase orders; order acceptance process; cancellation clauses; legal advice where necessary.</t>
  </si>
  <si>
    <t>Accounting form does not override legal enforceability. Oral or implied contracts can qualify. Revenue Compass should flag legal questions rather than infer enforceability from commercial intent alone.</t>
  </si>
  <si>
    <t>When an arrangement is unsigned, oral, subject to customary practices, or contains unusual termination/enforceability terms.</t>
  </si>
  <si>
    <t>Contract form, apparent evidence of approval, identified rights/obligations, and an “uncertain” flag when legal enforceability cannot be established from supplied materials.</t>
  </si>
  <si>
    <t>Any legal-enforceability conclusion or assumption that affects the contract term or Step 1 qualification.</t>
  </si>
  <si>
    <t>Store enforceability as an accountant-approved judgment; do not infer legal conclusions deterministically.</t>
  </si>
  <si>
    <t>FASB ASC; Deloitte Revenue Recognition Roadmap §4.2</t>
  </si>
  <si>
    <t>https://asc.fasb.org/
https://dart.deloitte.com/USDART/home/codification/revenue/asc606-10/roadmap-revenue-recognition/chapter-4-step-1-identify-contract/4-2-identifying-a-contract-with</t>
  </si>
  <si>
    <t>step1, enforceability, written contract, oral contract, implied contract, governing law</t>
  </si>
  <si>
    <t>Contract Term — Enforceable Period</t>
  </si>
  <si>
    <t>ASC 606-10-25-3</t>
  </si>
  <si>
    <t>ASC 606-10-25-2; ASC 606-10-25-4</t>
  </si>
  <si>
    <t>The accounting contract term is the period during which the parties have present enforceable rights and obligations, which may differ from the stated legal term when substantive termination rights exist.</t>
  </si>
  <si>
    <t>1. Identify stated start/end dates.
2. Identify termination and renewal provisions.
3. Determine the enforceable period after considering unilateral cancellation rights and substantive penalties.
4. Separate customer options for future periods when appropriate.</t>
  </si>
  <si>
    <t>Stated term; auto-renewal provisions; notice periods; cancellation fees; refund rights; nonrefundable amounts; renewal pricing; governing-law information.</t>
  </si>
  <si>
    <t>A stated multi-year term does not automatically establish a multi-year accounting term if either party can terminate without substantive compensation. Conversely, substantive termination penalties may support a longer enforceable term.</t>
  </si>
  <si>
    <t>At inception, renewal, or modification when the enforceable contract period affects performance obligations, transaction price, or recognition.</t>
  </si>
  <si>
    <t>Proposed enforceable start/end dates, identified cancellation rights, and rationale based on supplied clauses.</t>
  </si>
  <si>
    <t>The enforceable contract term and treatment of renewal/cancellation options.</t>
  </si>
  <si>
    <t>Use approved enforceable dates as boundaries for core contract analysis; warn when PO recognition dates fall outside that term unless supported by another approved lifecycle segment.</t>
  </si>
  <si>
    <t>FASB ASC; Deloitte Revenue Recognition Roadmap §4.4</t>
  </si>
  <si>
    <t>https://asc.fasb.org/
https://dart.deloitte.com/USDART/home/codification/revenue/asc606-10/roadmap-revenue-recognition/chapter-4-step-1-identify-contract/4-4-contract-term</t>
  </si>
  <si>
    <t>step1, contract term, termination, cancellation, enforceable period, renewal</t>
  </si>
  <si>
    <t>Wholly Unperformed Contract — Free Termination</t>
  </si>
  <si>
    <t>ASC 606-10-25-4</t>
  </si>
  <si>
    <t>ASC 606-10-25-2 through 25-3</t>
  </si>
  <si>
    <t>A contract does not exist for ASC 606 purposes when it is wholly unperformed and each party can unilaterally terminate it without compensating the other party.</t>
  </si>
  <si>
    <t>1. No promised goods or services have been transferred.
2. The entity has not received, and is not entitled to receive, consideration.
3. Each party can terminate without compensating the other party.</t>
  </si>
  <si>
    <t>Performance to date; cash received; payment entitlement; termination rights; deposits; cancellation penalties.</t>
  </si>
  <si>
    <t>All conditions matter. A contract may cease to be “wholly unperformed” once either transfer or payment entitlement arises. A substantive penalty can create enforceability even before performance.</t>
  </si>
  <si>
    <t>When assessing unsigned orders, cancellable SaaS subscriptions, trial periods, or agreements awaiting activation.</t>
  </si>
  <si>
    <t>Whether the contract appears wholly unperformed and freely terminable, with cited clauses/facts.</t>
  </si>
  <si>
    <t>Final conclusion on whether an ASC 606 contract presently exists.</t>
  </si>
  <si>
    <t>If approved as freely terminable and wholly unperformed, block contract finalization until circumstances change.</t>
  </si>
  <si>
    <t>step1, wholly unperformed, termination without compensation, free cancellation</t>
  </si>
  <si>
    <t>Reassessment After Contract Criteria Are Met</t>
  </si>
  <si>
    <t>ASC 606-10-25-5</t>
  </si>
  <si>
    <t>Once the Step 1 criteria are met, they are not reassessed unless a significant change in facts and circumstances indicates that reassessment is necessary.</t>
  </si>
  <si>
    <t>1. Confirm the contract previously qualified.
2. Identify a significant change in facts/circumstances.
3. Reassess the affected criteria, particularly collectibility, for remaining consideration and performance.</t>
  </si>
  <si>
    <t>Original approval date; customer credit events; bankruptcy/liquidity events; payment history; changes in legal enforceability; remaining performance and consideration.</t>
  </si>
  <si>
    <t>Routine payment delays or minor credit changes do not automatically reopen Step 1. Credit losses on unconditional receivables are generally addressed under ASC 326 rather than by reversing revenue solely because collection risk later increases.</t>
  </si>
  <si>
    <t>During ongoing contract monitoring when a major customer credit or legal event occurs.</t>
  </si>
  <si>
    <t>Whether facts appear significant enough to require reassessment and which Step 1 criterion is affected.</t>
  </si>
  <si>
    <t>Whether reassessment is required and the revised conclusion.</t>
  </si>
  <si>
    <t>Preserve the original approved Step 1 assessment and record a dated reassessment rather than overwriting history.</t>
  </si>
  <si>
    <t>FASB ASC; Deloitte Revenue Recognition Roadmap §4.5</t>
  </si>
  <si>
    <t>https://asc.fasb.org/
https://dart.deloitte.com/USDART/home/codification/revenue/asc606-10/roadmap-revenue-recognition/chapter-4-step-1-identify-contract/4-5-reassessing-criteria-for-identifying</t>
  </si>
  <si>
    <t>step1, reassessment, collectibility change, bankruptcy, significant change</t>
  </si>
  <si>
    <t>Continuing Assessment When Criteria Initially Fail</t>
  </si>
  <si>
    <t>ASC 606-10-25-6</t>
  </si>
  <si>
    <t>ASC 606-10-25-1; ASC 606-10-25-7 through 25-8</t>
  </si>
  <si>
    <t>If an arrangement initially fails the Step 1 criteria, the entity continues to assess the arrangement and applies ASC 606 once the criteria are subsequently met.</t>
  </si>
  <si>
    <t>1. Identify failed criteria.
2. Continue monitoring facts and circumstances.
3. Determine the date on which all Step 1 criteria are first satisfied.
4. Until then, apply the guidance for consideration received before a qualifying contract exists.</t>
  </si>
  <si>
    <t>Failed criteria; subsequent approvals; payment/collection developments; revised terms; performance status; consideration received.</t>
  </si>
  <si>
    <t>A failed Step 1 assessment is not necessarily permanent. Revenue recognition does not begin merely because cash is received or performance occurs if the contract criteria remain unsatisfied.</t>
  </si>
  <si>
    <t>When onboarding high-risk customers or arrangements that become enforceable/collectible only after later events.</t>
  </si>
  <si>
    <t>Which criteria remain unresolved and whether new evidence appears to cure them.</t>
  </si>
  <si>
    <t>The date all criteria become satisfied and any prior nonqualifying-period treatment.</t>
  </si>
  <si>
    <t>Maintain Step 1 status as pending/failed until accountant approval of a later qualifying assessment.</t>
  </si>
  <si>
    <t>step1, failed criteria, continuing assessment, later qualification</t>
  </si>
  <si>
    <t>Consideration Received Before Contract Criteria Are Met</t>
  </si>
  <si>
    <t>ASC 606-10-25-7</t>
  </si>
  <si>
    <t>ASC 606-10-25-6; ASC 606-10-25-8</t>
  </si>
  <si>
    <t>When consideration is received before the Step 1 criteria are met, revenue is recognized only when the specified release conditions are satisfied; otherwise the amount remains a liability.</t>
  </si>
  <si>
    <t>Evaluate whether: (a) no remaining transfer obligations exist and all or substantially all consideration has been received and is nonrefundable; (b) the contract has been terminated and consideration received is nonrefundable; or (c) other conditions in the current guidance permit recognition after transfer and cessation of obligations. If none apply, continue liability accounting.</t>
  </si>
  <si>
    <t>Cash/noncash consideration received; refundability; remaining obligations; termination status; transfer history; enforceable claims.</t>
  </si>
  <si>
    <t>Do not use a fixed numerical bright line for “substantially all.” A contractual label such as “nonrefundable” does not by itself establish revenue if the entity still owes goods/services or the ASC 606 release conditions are not met.</t>
  </si>
  <si>
    <t>When deposits or prepayments are received from arrangements that do not yet qualify as contracts.</t>
  </si>
  <si>
    <t>Whether a release condition appears met, with explicit evidence and any unresolved legal/refundability questions.</t>
  </si>
  <si>
    <t>The release condition and recognition date, if any.</t>
  </si>
  <si>
    <t>Record/track the amount as a nonqualifying-arrangement liability until an approved release or later Step 1 qualification.</t>
  </si>
  <si>
    <t>FASB ASC; Deloitte Revenue Recognition Roadmap §4.6</t>
  </si>
  <si>
    <t>https://asc.fasb.org/
https://dart.deloitte.com/USDART/home/codification/revenue/asc606-10/roadmap-revenue-recognition/chapter-4-step-1-identify-contract/4-6-consideration-received-when-criteria</t>
  </si>
  <si>
    <t>step1, consideration received, failed contract, nonrefundable, liability, release</t>
  </si>
  <si>
    <t>Liability for Nonqualifying Arrangement</t>
  </si>
  <si>
    <t>ASC 606-10-25-8</t>
  </si>
  <si>
    <t>ASC 606-10-25-6 through 25-7</t>
  </si>
  <si>
    <t>Consideration received from a customer before an arrangement meets the Step 1 criteria is generally presented as a liability until the qualifying or release conditions are met.</t>
  </si>
  <si>
    <t>1. Determine amount of consideration received.
2. Confirm Step 1 criteria are not met.
3. Confirm no 25-7 release condition is satisfied.
4. Continue liability presentation until status changes.</t>
  </si>
  <si>
    <t>Amounts received; payment dates; Step 1 status; refundability; remaining obligations.</t>
  </si>
  <si>
    <t>Use the amount received as the starting measurement; do not treat such deposits as revenue simply because the payment is contractually nonrefundable.</t>
  </si>
  <si>
    <t>Balance-sheet treatment of customer cash received before a valid ASC 606 contract exists.</t>
  </si>
  <si>
    <t>Proposed liability classification and a link to the unresolved Step 1 criteria.</t>
  </si>
  <si>
    <t>The classification/release of the liability.</t>
  </si>
  <si>
    <t>Keep this liability outside finalized ASC 606 revenue schedules until Step 1 becomes satisfied or release criteria are approved.</t>
  </si>
  <si>
    <t>step1, nonqualifying arrangement, deposit liability, pre-contract cash</t>
  </si>
  <si>
    <t>Combining Contracts</t>
  </si>
  <si>
    <t>ASC 606-10-25-9</t>
  </si>
  <si>
    <t>ASC 606-10-25-14 through 25-22</t>
  </si>
  <si>
    <t>Contracts entered into at or near the same time with the same customer or related parties are combined when they are negotiated as a package with one commercial objective, consideration in one depends on the other, or the promised goods/services form a single performance obligation.</t>
  </si>
  <si>
    <t>1. Same customer or related parties.
2. Entered into at or near the same time.
3. At least one combination condition is met: single commercial objective, interdependent consideration, or promises together form one performance obligation.</t>
  </si>
  <si>
    <t>Execution dates; counterparties; negotiation history; cross-contract pricing; side letters; promises in each agreement; PO analysis.</t>
  </si>
  <si>
    <t>There is no universal day-count bright line for “at or near the same time.” Any one of the three economic conditions is sufficient. Legal document count does not determine the accounting unit.</t>
  </si>
  <si>
    <t>When a SaaS deal uses multiple order forms, SOWs, master agreements, reseller/customer documents, or near-simultaneous amendments.</t>
  </si>
  <si>
    <t>Potentially related contracts, which combination condition appears relevant, and evidence/uncertainty.</t>
  </si>
  <si>
    <t>Whether contracts are combined and the resulting combined contract population.</t>
  </si>
  <si>
    <t>If approved, merge the contracts for Steps 2–5 while preserving source-document provenance for each promise and payment term.</t>
  </si>
  <si>
    <t>FASB ASC; Deloitte Revenue Recognition Roadmap §4.7</t>
  </si>
  <si>
    <t>https://asc.fasb.org/
https://dart.deloitte.com/USDART/home/codification/revenue/asc606-10/roadmap-revenue-recognition/chapter-4-step-1-identify-contract/4-7-combining-contracts</t>
  </si>
  <si>
    <t>step1, combine contracts, package, interdependent pricing, same customer, side agreements</t>
  </si>
  <si>
    <t>Collectibility Versus Implicit Price Concession</t>
  </si>
  <si>
    <t>ASC 606-10-25-1(e)</t>
  </si>
  <si>
    <t>ASC 606-10-32-7; ASC 606-10-32-8 through 32-14</t>
  </si>
  <si>
    <t>A lower amount expected to be collected can reflect either credit risk or an implicit price concession; the distinction affects the Step 1 collectibility analysis and the transaction price.</t>
  </si>
  <si>
    <t>1. Determine amount the entity expects to be entitled to.
2. Identify whether accepting less than stated price is an expected concession or a credit loss on an unconditional amount.
3. Assess collectibility of the expected entitlement.</t>
  </si>
  <si>
    <t>Stated price; customary concessions; customer class; collection history; negotiations; credit data; subsequent payments; enforceable rights.</t>
  </si>
  <si>
    <t>A concession changes the amount of consideration in the transaction price; a credit loss generally does not. Subsequent cash shortfalls are not automatically evidence that the original price was variable.</t>
  </si>
  <si>
    <t>When a customer has weak credit, pricing is routinely negotiated after service, or collections differ from stated invoices.</t>
  </si>
  <si>
    <t>Whether facts indicate concession, credit risk, or uncertainty; proposed expected entitlement; missing evidence.</t>
  </si>
  <si>
    <t>Classification of the shortfall and collectibility conclusion.</t>
  </si>
  <si>
    <t>Do not automatically reduce revenue for collection shortfalls; route approved concessions into variable-consideration logic and credit losses outside the revenue engine.</t>
  </si>
  <si>
    <t>FASB ASC; Deloitte Revenue Recognition Roadmap Ch. 4 and §6.3</t>
  </si>
  <si>
    <t>https://asc.fasb.org/
https://dart.deloitte.com/USDART/home/codification/revenue/asc606-10/roadmap-revenue-recognition/chapter-4-step-1-identify-contract/4-3-criteria-for-identifying-a
https://dart.deloitte.com/USDART/home/codification/revenue/asc606-10/roadmap-revenue-recognition/chapter-6-step-3-determine-transaction/6-3-variable-consideration</t>
  </si>
  <si>
    <t>step1, collectibility, price concession, credit risk, expected entitlement</t>
  </si>
  <si>
    <t>Step 2</t>
  </si>
  <si>
    <t>Identify Performance Obligations</t>
  </si>
  <si>
    <t>ASC 606-10-25-14</t>
  </si>
  <si>
    <t>ASC 606-10-25-15 through 25-22</t>
  </si>
  <si>
    <t>At contract inception, each promise is evaluated to identify performance obligations consisting of a distinct good/service or a qualifying series of distinct goods/services that are substantially the same and have the same pattern of transfer.</t>
  </si>
  <si>
    <t>1. Identify promised goods/services.
2. Apply the distinct test.
3. Combine non-distinct promises until a distinct bundle results.
4. Apply the series guidance when applicable.</t>
  </si>
  <si>
    <t>Contract promises; implied promises; customer benefit; integration/customization/interdependence facts; series facts; service pattern.</t>
  </si>
  <si>
    <t>Performance obligations are accounting units, not necessarily invoice lines or SOW headings. A single PO can contain multiple non-distinct promises; a series of individually distinct services can also be one PO.</t>
  </si>
  <si>
    <t>For every qualifying contract before allocating transaction price.</t>
  </si>
  <si>
    <t>Candidate promises, candidate PO groupings, distinct/series analysis, and supporting evidence.</t>
  </si>
  <si>
    <t>Final promise list, grouping, PO classification, and rationale.</t>
  </si>
  <si>
    <t>Allow accountant-approved grouping only; deterministic engine uses the approved POs and never decides distinctness.</t>
  </si>
  <si>
    <t>FASB ASC; Deloitte Revenue Recognition Roadmap §5.3</t>
  </si>
  <si>
    <t>https://asc.fasb.org/
https://dart.deloitte.com/USDART/home/codification/revenue/asc606-10/roadmap-revenue-recognition/chapter-5-step-2-identify-performance/5-3-identifying-performance-obligations-in</t>
  </si>
  <si>
    <t>step2, performance obligation, promise, distinct, bundle, series</t>
  </si>
  <si>
    <t>Series of Distinct Goods or Services</t>
  </si>
  <si>
    <t>ASC 606-10-25-14(b)</t>
  </si>
  <si>
    <t>ASC 606-10-25-15; ASC 606-10-25-27; ASC 606-10-25-31 through 25-32</t>
  </si>
  <si>
    <t>A qualifying series of distinct goods/services is accounted for as one performance obligation when the items are substantially the same and have the same pattern of transfer.</t>
  </si>
  <si>
    <t>1. Each increment is distinct.
2. Items are substantially the same.
3. Each increment would satisfy the same over-time criterion.
4. The same method would measure progress for each increment.</t>
  </si>
  <si>
    <t>Nature of recurring service; transfer pattern; service periods; over-time basis; measure of progress; customer benefit.</t>
  </si>
  <si>
    <t>The series provision is mandatory when its criteria are met. Individual series elements remain relevant for variable-consideration allocation and modifications even though the series is one PO.</t>
  </si>
  <si>
    <t>Recurring SaaS, hosting, transaction processing, managed services, daily/weekly stand-ready services.</t>
  </si>
  <si>
    <t>Whether series criteria appear met, the underlying distinct service increment, and rationale.</t>
  </si>
  <si>
    <t>Series classification, underlying increment, and progress method.</t>
  </si>
  <si>
    <t>Store PO kind/classification as series; enable series-period allocation only after accountant approval of the relevant variable-consideration exception.</t>
  </si>
  <si>
    <t>step2, series, substantially same, same pattern, recurring service, SaaS</t>
  </si>
  <si>
    <t>Explicit and Implied Promises</t>
  </si>
  <si>
    <t>ASC 606-10-25-16</t>
  </si>
  <si>
    <t>ASC 606-10-25-14; ASC 606-10-25-17 through 25-18</t>
  </si>
  <si>
    <t>Promised goods/services include explicit contractual promises and implicit promises created by customary business practices, published policies, or specific statements that create a valid customer expectation.</t>
  </si>
  <si>
    <t>1. Read contract/order/SOW promises.
2. Identify customary or communicated commitments.
3. Determine whether each commitment transfers a good/service rather than merely describing internal activities.</t>
  </si>
  <si>
    <t>Contract text; sales materials; SLAs; customary practices; published policies; customer communications; implementation plans.</t>
  </si>
  <si>
    <t>A promise does not need a separate price or line item. Conversely, a separately billed activity is not automatically a promised good/service.</t>
  </si>
  <si>
    <t>When compiling the complete promise population for Step 2.</t>
  </si>
  <si>
    <t>Explicit and implied promise candidates, evidence, and whether each appears to transfer value to the customer.</t>
  </si>
  <si>
    <t>Final promise population and treatment of ambiguous customary commitments.</t>
  </si>
  <si>
    <t>Maintain source/provenance for each promise and allow accountant additions/removals before PO grouping.</t>
  </si>
  <si>
    <t>FASB ASC; Deloitte Revenue Recognition Roadmap §5.2</t>
  </si>
  <si>
    <t>https://asc.fasb.org/
https://dart.deloitte.com/USDART/home/codification/revenue/asc606-10/roadmap-revenue-recognition/chapter-5-step-2-identify-performance/5-2-promises-in-contracts-with</t>
  </si>
  <si>
    <t>step2, explicit promise, implied promise, customary practice, customer expectation</t>
  </si>
  <si>
    <t>Immaterial Promises Practical Expedient</t>
  </si>
  <si>
    <t>ASC 606-10-25-16A</t>
  </si>
  <si>
    <t>ASC 606-10-25-16B; ASC 606-10-25-14</t>
  </si>
  <si>
    <t>An entity may apply a policy not to assess whether promised goods/services are performance obligations when they are immaterial in the context of the contract, while considering the effect of multiple immaterial items in aggregate.</t>
  </si>
  <si>
    <t>1. Identify the entity's policy election.
2. Assess the promise in the context of the individual contract.
3. Consider aggregate effect of multiple promises.
4. Apply the policy consistently to similar arrangements.</t>
  </si>
  <si>
    <t>Policy election; estimated value/cost; frequency; customer significance; aggregate population of small promises.</t>
  </si>
  <si>
    <t>This is an accounting policy/practical expedient, not a license for AI to discard small promises automatically. Materiality is judgmental and may differ from financial-statement materiality analyses.</t>
  </si>
  <si>
    <t>When contracts include minor ancillary deliverables or promotional items.</t>
  </si>
  <si>
    <t>Potentially immaterial promises and supporting facts; no automatic exclusion.</t>
  </si>
  <si>
    <t>Application of the policy election and whether the promise is immaterial in context.</t>
  </si>
  <si>
    <t>If approved as immaterial, retain documentation but exclude from PO allocation mechanics.</t>
  </si>
  <si>
    <t>step2, immaterial promise, practical expedient, policy election</t>
  </si>
  <si>
    <t>Fulfillment and Administrative Activities</t>
  </si>
  <si>
    <t>ASC 606-10-25-17</t>
  </si>
  <si>
    <t>ASC 606-10-25-16; ASC 606-10-25-18</t>
  </si>
  <si>
    <t>Activities undertaken to fulfill or administer a contract are not performance obligations unless they transfer a promised good or service to the customer.</t>
  </si>
  <si>
    <t>1. Identify the activity.
2. Ask whether the activity itself transfers a resource/service to the customer.
3. If not, treat it as fulfillment/administrative rather than a PO.
4. Evaluate related costs under applicable cost guidance.</t>
  </si>
  <si>
    <t>Implementation/setup tasks; provisioning; internal project management; billing setup; customer-facing deliverables; customer benefit independent of future services.</t>
  </si>
  <si>
    <t>Separate billing or contractual naming does not prove a transfer. Some implementation activities can be distinct services; others only enable the entity to provide the hosted service.</t>
  </si>
  <si>
    <t>SaaS onboarding, activation, provisioning, internal configuration, account creation.</t>
  </si>
  <si>
    <t>Whether the activity appears to transfer a service, reasons, and evidence.</t>
  </si>
  <si>
    <t>Final promise vs fulfillment classification.</t>
  </si>
  <si>
    <t>Only approved promises enter PO grouping. Non-promises remain documented but receive no SSP/allocation.</t>
  </si>
  <si>
    <t>FASB ASC; Deloitte Revenue Recognition Roadmap §5.2; technology implementation guidance</t>
  </si>
  <si>
    <t>https://asc.fasb.org/
https://dart.deloitte.com/USDART/home/codification/revenue/asc606-10/roadmap-revenue-recognition/chapter-5-step-2-identify-performance/5-2-promises-in-contracts-with
https://dart.deloitte.com/USDART/home/publications/deloitte/industry/technology/technology-alerts-applying-revenue-standard/implementation-services-cloud-based-hosted-software</t>
  </si>
  <si>
    <t>step2, setup, administrative activity, fulfillment, implementation, onboarding</t>
  </si>
  <si>
    <t>Examples of Promised Goods and Services</t>
  </si>
  <si>
    <t>ASC 606-10-25-18</t>
  </si>
  <si>
    <t>ASC 606-10-25-16 through 25-17</t>
  </si>
  <si>
    <t>ASC 606 provides broad examples of goods/services that may be promised, including sale/resale of goods, services, stand-ready services, rights, licenses, options that provide material rights, and arranging for another party to transfer goods/services.</t>
  </si>
  <si>
    <t>1. Identify the economic resource or service promised.
2. Determine whether the customer receives a good/service.
3. Continue to distinctness/series analysis rather than treating the examples as automatic POs.</t>
  </si>
  <si>
    <t>Contract deliverables; rights; licenses; options; hosted services; support; third-party goods/services; stand-ready commitments.</t>
  </si>
  <si>
    <t>The examples are not an exhaustive checklist and do not bypass distinctness. Stand-ready service can be a promised service even if actual customer usage is uncertain.</t>
  </si>
  <si>
    <t>When AI or accountant needs a broad taxonomy for promise extraction.</t>
  </si>
  <si>
    <t>Promise category/type and likely relevant follow-on guidance.</t>
  </si>
  <si>
    <t>Whether the extracted item is actually promised and should be analyzed further.</t>
  </si>
  <si>
    <t>Use categories as retrieval/UI labels only; no accounting conclusion follows from category alone.</t>
  </si>
  <si>
    <t>step2, promised goods, promised services, stand-ready, license, option, arranging</t>
  </si>
  <si>
    <t>Shipping and Handling</t>
  </si>
  <si>
    <t>ASC 606-10-25-18B</t>
  </si>
  <si>
    <t>ASC 606-10-25-18A; ASC 606-10-25-23 through 25-30</t>
  </si>
  <si>
    <t>Shipping and handling before control transfers are fulfillment activities. For activities after control transfers, an entity may elect a policy to account for them as fulfillment rather than a separate promised service.</t>
  </si>
  <si>
    <t>1. Determine when control of the product transfers.
2. Determine whether shipping/handling occurs before or after control.
3. If after control, identify the policy election.
4. Accrue fulfillment costs as appropriate when revenue is recognized.</t>
  </si>
  <si>
    <t>Shipping terms; control-transfer point; delivery obligations; policy election; freight charges/costs.</t>
  </si>
  <si>
    <t>FOB labels are evidence but do not replace the full control analysis. Customer-billed freight is not automatically netted against shipping cost.</t>
  </si>
  <si>
    <t>Product contracts with freight, delivery, or handling activities.</t>
  </si>
  <si>
    <t>Control/shipping timing, whether the practical expedient may apply, and evidence.</t>
  </si>
  <si>
    <t>Control-transfer conclusion and policy election.</t>
  </si>
  <si>
    <t>Apply shipping treatment only after approved control timing; do not create a separate PO when the election/fulfillment conclusion applies.</t>
  </si>
  <si>
    <t>step2, shipping, handling, fulfillment, control, policy election</t>
  </si>
  <si>
    <t>Distinct — Two-Prong Test</t>
  </si>
  <si>
    <t>ASC 606-10-25-19</t>
  </si>
  <si>
    <t>ASC 606-10-25-20 through 25-22</t>
  </si>
  <si>
    <t>A promised good/service is distinct only when the customer can benefit from it on its own or with readily available resources and the promise is separately identifiable from other promises in the contract.</t>
  </si>
  <si>
    <t>1. Capable of being distinct under 25-20.
2. Distinct within the context of the contract under 25-21.
3. If either prong fails, combine with other promises under 25-22.</t>
  </si>
  <si>
    <t>Customer use/benefit; readily available resources; third-party alternatives; integration; customization; interdependence/interrelation; combined output.</t>
  </si>
  <si>
    <t>Both prongs are required. The first focuses on benefit; the second focuses on whether the entity is promising separate transfers versus one combined output.</t>
  </si>
  <si>
    <t>For each identified promise before PO grouping.</t>
  </si>
  <si>
    <t>Proposed answers for both prongs, evidence, and a draft distinct/not-distinct conclusion.</t>
  </si>
  <si>
    <t>Both prongs, final distinctness, and rationale.</t>
  </si>
  <si>
    <t>Store capable/distinct-in-context judgments separately; allow accountant override with rationale; grouping follows approved conclusion.</t>
  </si>
  <si>
    <t>step2, distinct, capable of being distinct, separately identifiable, two-prong test</t>
  </si>
  <si>
    <t>Capable of Being Distinct</t>
  </si>
  <si>
    <t>ASC 606-10-25-20</t>
  </si>
  <si>
    <t>ASC 606-10-25-19(a)</t>
  </si>
  <si>
    <t>A customer can benefit from a good/service if it can be used, consumed, sold for more than scrap value, or otherwise generate economic benefits either on its own or together with other readily available resources.</t>
  </si>
  <si>
    <t>1. Can the customer benefit from the item on its own?
2. If not, is a required resource already obtained or readily available from the entity or another party?
3. Is the item regularly sold separately or otherwise demonstrably usable?</t>
  </si>
  <si>
    <t>Separate sales; third-party service availability; existing customer resources; technical dependencies; resale/use capability.</t>
  </si>
  <si>
    <t>A resource can be “readily available” even if the customer has not yet purchased it. Proprietary implementation does not automatically make software incapable of being distinct; analyze whether another readily available resource can enable benefit.</t>
  </si>
  <si>
    <t>First prong of distinctness for software, implementation, equipment, training, and support.</t>
  </si>
  <si>
    <t>Whether benefit can be obtained and what resources make that possible.</t>
  </si>
  <si>
    <t>Capable-of-being-distinct judgment.</t>
  </si>
  <si>
    <t>No deterministic conclusion; store approved boolean/rationale as an input to PO grouping.</t>
  </si>
  <si>
    <t>step2, capable of being distinct, benefit, readily available resource, sold separately</t>
  </si>
  <si>
    <t>Distinct Within the Context of the Contract</t>
  </si>
  <si>
    <t>ASC 606-10-25-21</t>
  </si>
  <si>
    <t>ASC 606-10-25-19(b); ASC 606-10-25-22</t>
  </si>
  <si>
    <t>A promise is separately identifiable when, in the context of the contract, the entity is not providing a significant integration service, the item does not significantly modify/customize another promise, and the promises are not highly interdependent or interrelated.</t>
  </si>
  <si>
    <t>Evaluate indicators: 1. Significant integration into a combined output.
2. Significant modification/customization of another promise.
3. High interdependence/interrelation such that each promise is significantly affected by the other.</t>
  </si>
  <si>
    <t>Nature of combined output; integration responsibility; customization effort; functional dependencies; whether each item can be fulfilled independently; customer objective.</t>
  </si>
  <si>
    <t>The indicators support a broader principle: is the entity promising separate items or one combined output? Sequential timing alone does not establish interdependence.</t>
  </si>
  <si>
    <t>Second prong of distinctness, especially custom software, implementation, systems integration, and bundled technology.</t>
  </si>
  <si>
    <t>Which indicators are present/absent and a proposed separately-identifiable conclusion.</t>
  </si>
  <si>
    <t>Distinct-in-context judgment and rationale.</t>
  </si>
  <si>
    <t>Store accountant-approved result separately from capable-of-being-distinct; if false, require grouping with related promises.</t>
  </si>
  <si>
    <t>step2, distinct in context, integration, customization, interdependence, combined output</t>
  </si>
  <si>
    <t>Combining Non-Distinct Promises</t>
  </si>
  <si>
    <t>ASC 606-10-25-22</t>
  </si>
  <si>
    <t>ASC 606-10-25-19 through 25-21</t>
  </si>
  <si>
    <t>When a promised good/service is not distinct, it is combined with other promised goods/services until the entity identifies a bundle that is distinct; in some contracts the entire arrangement is one performance obligation.</t>
  </si>
  <si>
    <t>1. Identify failed distinctness prong(s).
2. Combine with economically related promises.
3. Reapply distinctness to the bundle.
4. Continue until a distinct bundle is identified.</t>
  </si>
  <si>
    <t>Promise relationships; integration/customization; combined output; customer benefit; transfer pattern.</t>
  </si>
  <si>
    <t>Do not automatically bundle every promise merely because one item is not distinct. Unrelated distinct promises can remain separate POs.</t>
  </si>
  <si>
    <t>Integrated implementations, design/build arrangements, highly customized technology bundles.</t>
  </si>
  <si>
    <t>Suggested bundle boundaries and rationale based on approved/assumed distinctness facts.</t>
  </si>
  <si>
    <t>Final bundle/PO grouping.</t>
  </si>
  <si>
    <t>Require every in-scope promise to be assigned to exactly one standard PO unless another approved special treatment applies (for example, a non-material customer option).</t>
  </si>
  <si>
    <t>step2, non-distinct, bundle, combined performance obligation</t>
  </si>
  <si>
    <t>Stand-Ready Obligations</t>
  </si>
  <si>
    <t>ASC 606-10-25-18(e)</t>
  </si>
  <si>
    <t>ASC 606-10-25-14(b); ASC 606-10-25-15; ASC 606-10-25-27(a)</t>
  </si>
  <si>
    <t>A promise to stand ready to provide goods/services or make them available as and when the customer decides can itself be a promised service; the nature of the promise determines the performance obligation and recognition pattern.</t>
  </si>
  <si>
    <t>1. Identify whether the customer is paying for availability/continuous access rather than a specified quantity.
2. Define the nature of the stand-ready promise.
3. Assess series/over-time criteria.
4. Select a progress measure that depicts transfer.</t>
  </si>
  <si>
    <t>Access period; service availability; customer usage rights; service levels; specified quantities; renewal/termination rights.</t>
  </si>
  <si>
    <t>Actual usage is not necessarily the measure of transfer for a stand-ready promise. A customer can receive value from availability even when usage is low.</t>
  </si>
  <si>
    <t>SaaS access, technical support, cloud hosting, maintenance, security monitoring, memberships.</t>
  </si>
  <si>
    <t>Whether the promise appears stand-ready, the nature of the service, and likely series/over-time considerations.</t>
  </si>
  <si>
    <t>Nature of promise, PO classification, and recognition method.</t>
  </si>
  <si>
    <t>For approved ratable stand-ready series, use the configured deterministic progress method; do not use usage as a proxy unless accountant-approved.</t>
  </si>
  <si>
    <t>FASB ASC; Deloitte Revenue Recognition Roadmap §5.4</t>
  </si>
  <si>
    <t>https://asc.fasb.org/
https://dart.deloitte.com/USDART/home/codification/revenue/asc606-10/roadmap-revenue-recognition/chapter-5-step-2-identify-performance/5-4-defining-nature-promise</t>
  </si>
  <si>
    <t>step2, stand-ready, SaaS access, availability, support, series</t>
  </si>
  <si>
    <t>SaaS Implementation Services — Promise and Distinctness</t>
  </si>
  <si>
    <t>ASC 606-10-25-17; ASC 606-10-25-19</t>
  </si>
  <si>
    <t>Implementation activities in a hosted software arrangement are evaluated first to determine whether they transfer a promised service and, if so, whether that service is distinct from the hosted SaaS service.</t>
  </si>
  <si>
    <t>1. Does implementation transfer a service to the customer or merely set up the entity to provide SaaS?
2. If a service is transferred, can the customer benefit from it?
3. Is it separately identifiable from SaaS, or does it significantly integrate/modify the hosted service?</t>
  </si>
  <si>
    <t>Implementation scope; deliverables; configuration/customization; data migration; third-party alternatives; customer benefit; hosted-service functionality before/after implementation.</t>
  </si>
  <si>
    <t>A separately stated implementation fee is not determinative. Routine provisioning often does not transfer a service; substantive professional services may. Distinctness depends on the specific hosted arrangement.</t>
  </si>
  <si>
    <t>SaaS onboarding, configuration, migration, implementation, integration, and customization.</t>
  </si>
  <si>
    <t>Promise vs activity classification, distinctness analysis, and evidence from SOW/implementation terms.</t>
  </si>
  <si>
    <t>Whether implementation is a promise, whether distinct, and final PO grouping.</t>
  </si>
  <si>
    <t>Only approved transferred/distinct implementation services receive a separate PO and SSP; non-distinct implementation is grouped as approved.</t>
  </si>
  <si>
    <t>Deloitte technology implementation guidance; FASB ASC</t>
  </si>
  <si>
    <t>https://asc.fasb.org/
https://dart.deloitte.com/USDART/home/publications/deloitte/industry/technology/technology-alerts-applying-revenue-standard/implementation-services-cloud-based-hosted-software</t>
  </si>
  <si>
    <t>step2, SaaS, implementation, onboarding, configuration, customization, hosting</t>
  </si>
  <si>
    <t>Specified Quantity Service Versus Stand-Ready SaaS</t>
  </si>
  <si>
    <t>ASC 606-10-25-14(b); ASC 606-10-25-15; ASC 606-10-25-18(e)</t>
  </si>
  <si>
    <t>A contract for a specified quantity of service differs from a stand-ready obligation: the former generally promises identified units of service, while the latter promises continuous availability/access over a period.</t>
  </si>
  <si>
    <t>1. Identify whether the contract promises access for a period or a fixed number of service units.
2. Determine whether unused units expire, carry forward, or are refundable.
3. Define the underlying unit of account and transfer pattern.</t>
  </si>
  <si>
    <t>Usage entitlement; quantity limits; expiration; rollover; minimum commitments; access term; service availability.</t>
  </si>
  <si>
    <t>Labels such as “subscription” do not settle the nature of the promise. This distinction can affect series analysis, breakage, variable consideration, and measure of progress.</t>
  </si>
  <si>
    <t>Cloud credits, API call packages, seat subscriptions, support-hour bundles, transaction-processing contracts.</t>
  </si>
  <si>
    <t>Proposed nature of promise and which facts distinguish stand-ready access from specified units.</t>
  </si>
  <si>
    <t>Nature of promise and resulting Step 2/Step 5 treatment.</t>
  </si>
  <si>
    <t>Route approved promise type to the corresponding recognition and usage logic; do not infer from billing cadence alone.</t>
  </si>
  <si>
    <t>FASB ASC; Deloitte Revenue Recognition Roadmap §5.4 and technology guidance</t>
  </si>
  <si>
    <t>https://asc.fasb.org/
https://dart.deloitte.com/USDART/home/codification/revenue/asc606-10/roadmap-revenue-recognition/chapter-5-step-2-identify-performance/5-4-defining-nature-promise
https://dart.deloitte.com/USDART/home/publications/deloitte/industry/technology/technology-accounting-guide</t>
  </si>
  <si>
    <t>step2, specified quantity, stand-ready, SaaS, usage entitlement, cloud credits</t>
  </si>
  <si>
    <t>Step 3</t>
  </si>
  <si>
    <t>Transaction Price — Objective</t>
  </si>
  <si>
    <t>ASC 606-10-32-2</t>
  </si>
  <si>
    <t>ASC 606-10-32-3 through 32-4</t>
  </si>
  <si>
    <t>The transaction price is the amount of consideration the entity expects to be entitled to in exchange for transferring promised goods or services, excluding amounts collected on behalf of third parties.</t>
  </si>
  <si>
    <t>1. Identify fixed consideration.
2. Identify variable consideration and apply the constraint.
3. Consider significant financing, noncash consideration, and consideration payable to the customer.
4. Exclude third-party collections.</t>
  </si>
  <si>
    <t>Contract prices; discounts; bonuses; rebates; refunds; payment timing; noncash terms; customer payments; taxes/third-party amounts.</t>
  </si>
  <si>
    <t>The transaction price is not necessarily the invoice total or stated list price. It can change after inception as estimates and facts change.</t>
  </si>
  <si>
    <t>For every contract after performance obligations are identified and before Step 4 allocation.</t>
  </si>
  <si>
    <t>Components of consideration, potentially variable terms, financing/noncash/customer-payment flags, and a draft transaction-price analysis.</t>
  </si>
  <si>
    <t>The accounting treatment and approved judgment inputs for each component.</t>
  </si>
  <si>
    <t>Calculate authoritative transaction price only from approved consideration components; preserve component-level provenance and changes over time.</t>
  </si>
  <si>
    <t>FASB ASC; Deloitte Revenue Recognition Roadmap Ch. 6</t>
  </si>
  <si>
    <t>https://asc.fasb.org/
https://dart.deloitte.com/USDART/home/codification/revenue/asc606-10/roadmap-revenue-recognition/chapter-6-step-3-determine-transaction</t>
  </si>
  <si>
    <t>step3, transaction price, fixed consideration, variable consideration, financing, noncash</t>
  </si>
  <si>
    <t>Amounts Collected for Third Parties / Sales Taxes</t>
  </si>
  <si>
    <t>ASC 606-10-32-2A</t>
  </si>
  <si>
    <t>Amounts collected on behalf of third parties are excluded from revenue. An entity may elect a policy to exclude qualifying sales and similar taxes assessed by governmental authorities and collected from customers.</t>
  </si>
  <si>
    <t>1. Identify taxes/fees collected.
2. Determine whether the entity is collecting on behalf of a third party.
3. Determine whether the sales-tax practical expedient is elected and applies.
4. Apply policy consistently.</t>
  </si>
  <si>
    <t>Tax type; taxing authority; invoice terms; legal incidence; policy election; gross vs net collection mechanics.</t>
  </si>
  <si>
    <t>Not every government-related charge qualifies for the expedient. Income taxes and taxes imposed on the entity rather than the customer require separate analysis.</t>
  </si>
  <si>
    <t>Contracts/invoices that include sales, use, VAT-like, excise, regulatory, or similar charges.</t>
  </si>
  <si>
    <t>Potential third-party collections and whether the policy election appears relevant.</t>
  </si>
  <si>
    <t>Tax classification and policy election.</t>
  </si>
  <si>
    <t>Exclude approved third-party amounts from transaction price and revenue calculations.</t>
  </si>
  <si>
    <t>step3, sales tax, third party, gross revenue, transaction price exclusion</t>
  </si>
  <si>
    <t>Variable Consideration — Identification</t>
  </si>
  <si>
    <t>ASC 606-10-32-5</t>
  </si>
  <si>
    <t>ASC 606-10-32-6 through 32-7</t>
  </si>
  <si>
    <t>Consideration is variable when the amount to which the entity expects to be entitled can change because of discounts, rebates, refunds, credits, concessions, incentives, performance bonuses, penalties, usage, or similar factors.</t>
  </si>
  <si>
    <t>1. Identify explicit variable payment terms.
2. Identify terms whose amount depends on future events/performance.
3. Identify implicit variability from customary concessions or facts indicating the entity intends to accept less than stated price.
4. Separate variable consideration from credit risk.</t>
  </si>
  <si>
    <t>Bonus/penalty clauses; SLAs; usage rates; rebates; returns; concessions; customer history; pricing practices; milestones; refund terms.</t>
  </si>
  <si>
    <t>Variability can arise from the amount of consideration or from uncertainty about whether a fixed stated amount will be retained. A payment need not use the word “variable” to be variable consideration.</t>
  </si>
  <si>
    <t>Whenever contract consideration may differ from the stated fixed amount.</t>
  </si>
  <si>
    <t>Presence/absence/uncertainty of variable consideration; component descriptions; triggering clauses; source evidence; likely processing path.</t>
  </si>
  <si>
    <t>Whether variable consideration exists and the component population.</t>
  </si>
  <si>
    <t>Support multiple optional variable-consideration components. In AI mode, use present/absent/uncertain and require accountant approval before authoritative processing.</t>
  </si>
  <si>
    <t>FASB ASC; Deloitte Revenue Recognition Roadmap §6.3</t>
  </si>
  <si>
    <t>https://asc.fasb.org/
https://dart.deloitte.com/USDART/home/codification/revenue/asc606-10/roadmap-revenue-recognition/chapter-6-step-3-determine-transaction/6-3-variable-consideration</t>
  </si>
  <si>
    <t>step3, variable consideration, bonus, rebate, refund, credit, penalty, usage, concession, Phase 5B</t>
  </si>
  <si>
    <t>Expected Value Method</t>
  </si>
  <si>
    <t>ASC 606-10-32-8(a)</t>
  </si>
  <si>
    <t>ASC 606-10-32-9</t>
  </si>
  <si>
    <t>Expected value estimates variable consideration as the probability-weighted sum of a range of possible consideration outcomes and is appropriate when that method better predicts the amount to which the entity expects to be entitled.</t>
  </si>
  <si>
    <t>1. Identify the relevant possible outcomes.
2. Assign supportable probabilities to outcomes.
3. Multiply each outcome by its probability.
4. Sum the probability-weighted outcomes.
5. Apply the variable-consideration constraint separately.</t>
  </si>
  <si>
    <t>Possible monetary outcomes; probability estimates; historical data; portfolio characteristics; current forecasts; relevant external/internal evidence.</t>
  </si>
  <si>
    <t>Expected value is not a generic “confidence haircut.” It is an estimation method. The constraint is a separate assessment applied after the unconstrained estimate is calculated.</t>
  </si>
  <si>
    <t>Variable consideration with a range of outcomes, portfolios of similar contracts, rebates/credits with multiple possible amounts.</t>
  </si>
  <si>
    <t>Whether expected value appears to be the better predictor, outcome set, probabilities, rationale, and missing evidence.</t>
  </si>
  <si>
    <t>Method selection, outcome inputs/probabilities, and constraint conclusion.</t>
  </si>
  <si>
    <t>Calculate the unconstrained estimate deterministically using exact integer-cents probability weighting; do not let AI perform authoritative money math.</t>
  </si>
  <si>
    <t>FASB ASC; Deloitte Revenue Recognition Roadmap §6.3.2</t>
  </si>
  <si>
    <t>step3, variable consideration, expected value, probability weighted, Phase 5B</t>
  </si>
  <si>
    <t>Most Likely Amount Method</t>
  </si>
  <si>
    <t>ASC 606-10-32-8(b)</t>
  </si>
  <si>
    <t>Most likely amount estimates variable consideration as the single most likely amount in a range of possible outcomes and is often useful when an uncertainty has only two or a small number of discrete outcomes.</t>
  </si>
  <si>
    <t>1. Identify discrete possible outcomes.
2. Determine which outcome is most likely.
3. Use that outcome as the unconstrained estimate.
4. Apply the variable-consideration constraint separately.</t>
  </si>
  <si>
    <t>Outcome amounts; binary/milestone conditions; likelihood evidence; history; current forecast; contractual trigger.</t>
  </si>
  <si>
    <t>For a binary $30,000-or-$0 bonus, an 85% likelihood does not mean the most-likely estimate is $25,500. If $30,000 is the most likely outcome, the unconstrained estimate is $30,000; the constraint is evaluated separately.</t>
  </si>
  <si>
    <t>Completion bonuses, binary milestones, all-or-nothing incentives and penalties.</t>
  </si>
  <si>
    <t>Whether most likely amount appears to be the better predictor, selected outcome, and supporting evidence.</t>
  </si>
  <si>
    <t>Method selection, selected outcome, and constraint conclusion.</t>
  </si>
  <si>
    <t>Set unconstrained estimate equal to the accountant-approved most-likely outcome; do not multiply by probability unless expected-value method is selected.</t>
  </si>
  <si>
    <t>step3, variable consideration, most likely amount, binary bonus, milestone, Phase 5B</t>
  </si>
  <si>
    <t>Consistency of Variable-Consideration Estimation Method</t>
  </si>
  <si>
    <t>ASC 606-10-32-8 through 32-9</t>
  </si>
  <si>
    <t>ASC 606-10-32-14</t>
  </si>
  <si>
    <t>The entity selects the estimation method that better predicts the consideration for the particular uncertainty and applies that method consistently throughout the contract unless the nature of the uncertainty changes in a way that supports a different conclusion.</t>
  </si>
  <si>
    <t>1. Identify the underlying uncertainty.
2. Select expected value or most likely amount based on predictive usefulness.
3. Apply consistently to that uncertainty.
4. Reassess inputs at reporting dates.</t>
  </si>
  <si>
    <t>Nature of uncertainty; number/distribution of outcomes; history; reason for any proposed method change.</t>
  </si>
  <si>
    <t>Different variable-consideration components in the same contract can use different methods. Do not switch methods merely to achieve a preferred revenue result.</t>
  </si>
  <si>
    <t>Contracts with multiple variable terms or later remeasurement events.</t>
  </si>
  <si>
    <t>Method by component and whether later facts suggest the existing method remains appropriate.</t>
  </si>
  <si>
    <t>Initial method and any exceptional method-change rationale.</t>
  </si>
  <si>
    <t>Phase 5B locks method by component for its current supported scope; dated remeasurement updates outcomes/probabilities/constraint rather than silently overwriting history.</t>
  </si>
  <si>
    <t>step3, variable consideration, method consistency, remeasurement, Phase 5B</t>
  </si>
  <si>
    <t>Refund Liability</t>
  </si>
  <si>
    <t>ASC 606-10-32-10</t>
  </si>
  <si>
    <t>ASC 606-10-55-22 through 55-29</t>
  </si>
  <si>
    <t>When an entity expects to refund some or all consideration received or receivable, it recognizes a refund liability for the amount it does not expect to be entitled to.</t>
  </si>
  <si>
    <t>1. Identify refund/return rights.
2. Estimate consideration expected to be refunded.
3. Exclude that amount from revenue/transaction price as appropriate.
4. Update the estimate at reporting dates.</t>
  </si>
  <si>
    <t>Return/refund terms; historical returns; product/service patterns; refund timing; consideration received/receivable.</t>
  </si>
  <si>
    <t>A refund liability is distinct from a contract liability. Return arrangements can also require an asset for the right to recover returned products.</t>
  </si>
  <si>
    <t>Rights of return, satisfaction guarantees, rebates paid back to customers, cancellation refunds.</t>
  </si>
  <si>
    <t>Potential refund amount, relevant evidence, and whether return/refund special guidance is triggered.</t>
  </si>
  <si>
    <t>Refund estimate and related recognition treatment.</t>
  </si>
  <si>
    <t>Represent refund-related variable consideration as an approved component or special-topic calculation; do not classify automatically as deferred revenue.</t>
  </si>
  <si>
    <t>step3, refund liability, returns, variable consideration</t>
  </si>
  <si>
    <t>Variable Consideration Constraint</t>
  </si>
  <si>
    <t>ASC 606-10-32-11</t>
  </si>
  <si>
    <t>ASC 606-10-32-12 through 32-13</t>
  </si>
  <si>
    <t>Include variable consideration in the transaction price only to the extent it is probable that a significant reversal of cumulative revenue recognized will not occur when the uncertainty is resolved.</t>
  </si>
  <si>
    <t>1. Calculate the unconstrained estimate using the approved method.
2. Evaluate magnitude and likelihood of a potential reversal.
3. Consider the reversal-risk factors in 32-12.
4. Determine the amount, from zero through the unconstrained estimate, that can be included.</t>
  </si>
  <si>
    <t>Unconstrained estimate; uncertainty duration; historical predictive experience; external factors; susceptibility to judgment; possible magnitude; cancellation/refund exposure.</t>
  </si>
  <si>
    <t>The constraint is not a probability percentage or mechanical haircut. Partial inclusion is possible. The accountant determines the constrained amount; Revenue Compass may derive only the status (excluded/partial/full).</t>
  </si>
  <si>
    <t>Every estimated variable-consideration component before inclusion in transaction price.</t>
  </si>
  <si>
    <t>A proposed constrained amount, proposed full/partial/excluded status, reasoning, risk factors, and evidence.</t>
  </si>
  <si>
    <t>The constrained amount included and rationale.</t>
  </si>
  <si>
    <t>Validate 0 &lt;= included amount &lt;= unconstrained estimate. Derive excluded/partially included/fully included status deterministically. Preserve AI proposal separately until approval.</t>
  </si>
  <si>
    <t>step3, variable consideration, constraint, significant reversal, constrained amount, Phase 5B</t>
  </si>
  <si>
    <t>Constraint — Reversal Risk Factors</t>
  </si>
  <si>
    <t>ASC 606-10-32-12</t>
  </si>
  <si>
    <t>ASC 606-10-32-11; ASC 606-10-32-13</t>
  </si>
  <si>
    <t>The constraint assessment considers factors that could increase the likelihood or magnitude of a significant revenue reversal, including matters outside the entity’s influence, long uncertainty periods, limited predictive experience, broad concessions, and arrangements with many possible outcomes.</t>
  </si>
  <si>
    <t>Evaluate: 1. External-factor susceptibility.
2. Time until uncertainty resolves.
3. Predictive experience with similar contracts.
4. History/practice of concessions or changing terms.
5. Number/range of possible consideration outcomes.</t>
  </si>
  <si>
    <t>Historical performance; forecast quality; market/regulatory factors; customer behavior; duration to resolution; concession practices; outcome distribution.</t>
  </si>
  <si>
    <t>The listed factors are indicators, not a mechanical scoring model. Favorable historical evidence can support inclusion but does not eliminate the need to evaluate current facts.</t>
  </si>
  <si>
    <t>When documenting why an estimated variable amount is fully, partially, or not included.</t>
  </si>
  <si>
    <t>Which risk factors appear present/absent and how they affect the proposed constraint conclusion.</t>
  </si>
  <si>
    <t>Risk-factor assessment and constrained amount.</t>
  </si>
  <si>
    <t>Store factor-level rationale/evidence for audit trail; no automated scoring threshold.</t>
  </si>
  <si>
    <t>step3, constraint factors, reversal risk, history, external factors, Phase 5B</t>
  </si>
  <si>
    <t>Remeasurement of Variable Consideration</t>
  </si>
  <si>
    <t>ASC 606-10-32-8 through 32-13; ASC 606-10-32-42 through 32-45</t>
  </si>
  <si>
    <t>At each reporting date, an entity updates the estimated variable consideration and the constraint to reflect current facts and circumstances.</t>
  </si>
  <si>
    <t>1. Reassess outcome/probability inputs.
2. Reassess constraint.
3. Determine the change in included transaction price.
4. Allocate the change under Step 4.
5. Recognize any required cumulative catch-up for satisfied performance.</t>
  </si>
  <si>
    <t>Prior assessment; current facts; resolution events; revised probabilities/outcomes; prior constrained amount; PO satisfaction to date.</t>
  </si>
  <si>
    <t>Preserve history rather than overwriting the original estimate. Actual resolution can confirm the estimate with no change or can produce an increase/decrease requiring accounting.</t>
  </si>
  <si>
    <t>Reporting periods before the uncertainty is resolved and at the resolution date.</t>
  </si>
  <si>
    <t>Updated estimate/constraint and reason for change; resolution status; evidence.</t>
  </si>
  <si>
    <t>Dated remeasurement/resolution event and approved updated included amount.</t>
  </si>
  <si>
    <t>Phase 5B stores dated remeasurement events, computes the delta deterministically, follows the component’s locked allocation treatment, and performs cumulative catch-up where required.</t>
  </si>
  <si>
    <t>FASB ASC; Deloitte Revenue Recognition Roadmap §6.3 and Ch. 7</t>
  </si>
  <si>
    <t>https://asc.fasb.org/
https://dart.deloitte.com/USDART/home/codification/revenue/asc606-10/roadmap-revenue-recognition/chapter-6-step-3-determine-transaction/6-3-variable-consideration
https://dart.deloitte.com/USDART/home/codification/revenue/asc606-10/roadmap-revenue-recognition/chapter-7-step-4-allocate-transaction/7-6-changes-in-transaction-price</t>
  </si>
  <si>
    <t>step3, variable consideration, remeasurement, update, cumulative catch-up, Phase 5B</t>
  </si>
  <si>
    <t>Significant Financing Component — Identification</t>
  </si>
  <si>
    <t>ASC 606-10-32-15</t>
  </si>
  <si>
    <t>ASC 606-10-32-16 through 32-20</t>
  </si>
  <si>
    <t>The transaction price is adjusted for a significant financing component when payment timing provides the customer or entity a significant benefit of financing in connection with the transfer of goods/services.</t>
  </si>
  <si>
    <t>1. Compare timing of transfer and payment.
2. Consider expected time between them.
3. Consider difference between promised consideration and cash selling price.
4. Consider prevailing interest rates and other facts.
5. Evaluate exceptions/practical expedient.</t>
  </si>
  <si>
    <t>Payment schedule; transfer schedule; cash selling price; stated/implicit financing; credit terms; market rates; business reasons for timing.</t>
  </si>
  <si>
    <t>An advance payment or arrears arrangement does not automatically contain significant financing. Some payment structures primarily protect against nonperformance or have other substantive purposes.</t>
  </si>
  <si>
    <t>Multi-year prepayments, long payment deferrals, extended customer financing, large upfront SaaS payments.</t>
  </si>
  <si>
    <t>Whether a financing component may exist, direction (customer/entity financing), and relevant facts.</t>
  </si>
  <si>
    <t>Whether financing is significant and the discount rate/measurement inputs.</t>
  </si>
  <si>
    <t>Phase outside current core unless enabled; if approved, separate revenue consideration from financing/interest calculations.</t>
  </si>
  <si>
    <t>FASB ASC; Deloitte Revenue Recognition Roadmap §6.4</t>
  </si>
  <si>
    <t>https://asc.fasb.org/
https://dart.deloitte.com/USDART/home/codification/revenue/asc606-10/roadmap-revenue-recognition/chapter-6-step-3-determine-transaction/6-4-significant-financing-component</t>
  </si>
  <si>
    <t>step3, significant financing component, prepayment, deferred payment, interest</t>
  </si>
  <si>
    <t>Significant Financing — Situations That Are Not Financing</t>
  </si>
  <si>
    <t>ASC 606-10-32-17</t>
  </si>
  <si>
    <t>ASC 606-10-32-15 through 32-16</t>
  </si>
  <si>
    <t>Certain timing differences do not give rise to a significant financing component, including customer discretion over transfer timing, variable consideration whose timing/amount depends on future events not substantially controlled by the parties, or payment terms structured primarily for reasons other than financing.</t>
  </si>
  <si>
    <t>1. Identify why payment and transfer timing differ.
2. Determine whether timing is at customer discretion or depends on a future event.
3. Determine whether terms provide protection/assurance rather than financing.
4. Document the substantive business reason.</t>
  </si>
  <si>
    <t>Contract payment triggers; holdbacks; retainage; milestone terms; customer-calloff rights; variable events; credit protection rationale.</t>
  </si>
  <si>
    <t>Labels such as deposit, retainage, or prepayment are not determinative. Analyze the economic reason for the timing difference.</t>
  </si>
  <si>
    <t>When payment timing appears long but may be driven by performance risk, customer choice, or contingency.</t>
  </si>
  <si>
    <t>Potential exception and the substantive reason supported by clauses/facts.</t>
  </si>
  <si>
    <t>Whether an exception applies.</t>
  </si>
  <si>
    <t>If approved as not financing, retain ordinary transaction-price treatment; otherwise route to SFC calculation.</t>
  </si>
  <si>
    <t>step3, financing exception, retainage, milestone, customer discretion</t>
  </si>
  <si>
    <t>One-Year Financing Practical Expedient</t>
  </si>
  <si>
    <t>ASC 606-10-32-18</t>
  </si>
  <si>
    <t>ASC 606-10-32-15 through 32-17</t>
  </si>
  <si>
    <t>An entity may elect a practical expedient not to adjust for a significant financing component when, at contract inception, the expected period between transfer and payment is one year or less.</t>
  </si>
  <si>
    <t>1. Confirm policy election.
2. Estimate expected period between transfer and payment at inception.
3. Confirm it is one year or less.
4. Apply consistently to eligible arrangements.</t>
  </si>
  <si>
    <t>Expected transfer dates; expected payment dates; policy election; contract term.</t>
  </si>
  <si>
    <t>The test uses the expected timing between transfer and payment, not merely the legal contract length. Policy application should be consistent.</t>
  </si>
  <si>
    <t>Short-term billing in advance/arrears and annual SaaS billing.</t>
  </si>
  <si>
    <t>Whether the expedient appears available based on timing.</t>
  </si>
  <si>
    <t>Policy election and eligibility.</t>
  </si>
  <si>
    <t>If elected/eligible, bypass SFC adjustment while retaining payment/revenue timing separately.</t>
  </si>
  <si>
    <t>step3, one-year practical expedient, financing, payment timing</t>
  </si>
  <si>
    <t>Significant Financing — Discount Rate</t>
  </si>
  <si>
    <t>ASC 606-10-32-19</t>
  </si>
  <si>
    <t>ASC 606-10-32-15 through 32-20</t>
  </si>
  <si>
    <t>When a significant financing component exists, the discount rate reflects the rate that would be used in a separate financing transaction between the entity and customer at contract inception.</t>
  </si>
  <si>
    <t>1. Determine financing direction.
2. Estimate a market-consistent rate considering borrower credit characteristics and collateral/security.
3. Lock the rate at contract inception for the contract accounting.</t>
  </si>
  <si>
    <t>Borrower identity; credit risk; collateral/security; market borrowing/lending rates; payment/transfer timing.</t>
  </si>
  <si>
    <t>Do not update the discount rate merely because market rates or credit risk later change. The rate is not necessarily the stated contract rate.</t>
  </si>
  <si>
    <t>Contracts approved as containing significant financing.</t>
  </si>
  <si>
    <t>Candidate rate range/source and relevant credit/market considerations.</t>
  </si>
  <si>
    <t>Discount rate and source/rationale.</t>
  </si>
  <si>
    <t>Use accountant-approved rate in deterministic present-value/interest schedule when SFC functionality is enabled.</t>
  </si>
  <si>
    <t>step3, discount rate, significant financing, credit risk</t>
  </si>
  <si>
    <t>Significant Financing — Interest Presentation</t>
  </si>
  <si>
    <t>ASC 606-10-32-20</t>
  </si>
  <si>
    <t>ASC 606-10-32-15 through 32-19</t>
  </si>
  <si>
    <t>Financing effects are presented separately from revenue from contracts with customers, generally as interest income or interest expense, rather than as revenue.</t>
  </si>
  <si>
    <t>1. Determine revenue amount adjusted for financing.
2. Accrete/amortize financing over time.
3. Present financing separately from revenue.</t>
  </si>
  <si>
    <t>Approved discount rate; payment schedule; revenue/transfer schedule; opening financing balance.</t>
  </si>
  <si>
    <t>Revenue should depict the cash selling price-equivalent of the transferred goods/services; the time-value component is financing.</t>
  </si>
  <si>
    <t>When a significant financing component is recorded.</t>
  </si>
  <si>
    <t>Expected presentation direction and schedule inputs.</t>
  </si>
  <si>
    <t>Classification of financing income/expense.</t>
  </si>
  <si>
    <t>Keep financing journal lines separate from Revenue Compass revenue-source lines and reconcile to the financing schedule.</t>
  </si>
  <si>
    <t>step3, significant financing, interest income, interest expense, presentation</t>
  </si>
  <si>
    <t>Noncash Consideration — Initial Measurement</t>
  </si>
  <si>
    <t>ASC 606-10-32-21</t>
  </si>
  <si>
    <t>ASC 606-10-32-22 through 32-24</t>
  </si>
  <si>
    <t>Noncash consideration promised by a customer is generally measured at fair value; if fair value cannot be reasonably estimated, measurement uses the standalone selling price of the goods/services promised to the customer.</t>
  </si>
  <si>
    <t>1. Identify noncash consideration.
2. Determine fair value measurement date/basis under applicable guidance.
3. If fair value cannot be reasonably estimated, use SSP of promised goods/services as appropriate.
4. Consider subsequent variability.</t>
  </si>
  <si>
    <t>Type of noncash asset/right; fair value evidence; measurement date; SSP; restrictions; performance conditions.</t>
  </si>
  <si>
    <t>Noncash consideration can include equity, digital assets, customer-provided assets/rights, or other value. Separate variability from the form of consideration from variability driven by performance.</t>
  </si>
  <si>
    <t>Contracts paid partly with equity, assets, credits, data rights, tokens, or other noncash value.</t>
  </si>
  <si>
    <t>Whether noncash consideration exists, candidate fair value evidence, and relevant variability.</t>
  </si>
  <si>
    <t>Valuation/measurement basis and amount.</t>
  </si>
  <si>
    <t>Accept accountant-approved measured amount as a consideration component; valuation itself is outside deterministic ASC 606 math unless a specific supported method is added.</t>
  </si>
  <si>
    <t>FASB ASC; Deloitte Revenue Recognition Roadmap §6.5</t>
  </si>
  <si>
    <t>https://asc.fasb.org/
https://dart.deloitte.com/USDART/home/codification/revenue/asc606-10/roadmap-revenue-recognition/chapter-6-step-3-determine-transaction/6-5-noncash-consideration</t>
  </si>
  <si>
    <t>step3, noncash consideration, fair value, equity, assets, data rights</t>
  </si>
  <si>
    <t>Noncash Consideration — Subsequent Variability</t>
  </si>
  <si>
    <t>ASC 606-10-32-23 through 32-24</t>
  </si>
  <si>
    <t>ASC 606-10-32-21 through 32-22</t>
  </si>
  <si>
    <t>Subsequent changes in noncash consideration are treated differently depending on whether variability arises from the form of the consideration itself or from reasons other than its form, such as performance conditions.</t>
  </si>
  <si>
    <t>1. Identify why the noncash amount changed.
2. Separate market/form-related changes from performance-related variability.
3. Apply ASC 606 variable-consideration guidance to the portion driven by performance or other non-form factors as required.</t>
  </si>
  <si>
    <t>Initial fair value; later value; market-price changes; performance triggers; vesting/contingencies; contract terms.</t>
  </si>
  <si>
    <t>Do not route every fair-value movement through revenue. A single noncash arrangement can contain more than one source of variability.</t>
  </si>
  <si>
    <t>When noncash consideration changes after contract inception.</t>
  </si>
  <si>
    <t>Cause of variability and potential ASC 606 vs other-GAAP treatment.</t>
  </si>
  <si>
    <t>Classification of the change and any amount entering transaction price.</t>
  </si>
  <si>
    <t>Only accountant-approved ASC 606-related variability enters Revenue Compass transaction-price updates.</t>
  </si>
  <si>
    <t>step3, noncash, variability, fair value change, performance condition</t>
  </si>
  <si>
    <t>Consideration Payable to a Customer</t>
  </si>
  <si>
    <t>ASC 606-10-32-25</t>
  </si>
  <si>
    <t>ASC 606-10-32-26 through 32-27</t>
  </si>
  <si>
    <t>Cash, credits, coupons, or other consideration paid or payable to a customer generally reduce the transaction price and revenue unless the payment is in exchange for a distinct good or service received from the customer.</t>
  </si>
  <si>
    <t>1. Identify payments/credits to the customer or parties purchasing the entity’s goods/services.
2. Determine whether the entity receives a distinct good/service.
3. If distinct and fairly priced, account for the purchase under applicable guidance.
4. Treat excess or non-distinct amounts as a reduction of transaction price.</t>
  </si>
  <si>
    <t>Rebates; slotting fees; marketing allowances; customer credits; vendor services received; SSP/fair value of customer-provided service.</t>
  </si>
  <si>
    <t>A payment routed through a distributor or end customer can still be consideration payable to a customer. If fair value of a distinct service cannot be reasonably estimated, the entire payment may reduce revenue.</t>
  </si>
  <si>
    <t>Customer incentives, co-marketing payments, credits, rebates, reimbursements, concessions.</t>
  </si>
  <si>
    <t>Whether payment is consideration payable to customer, whether a distinct service is received, and proposed revenue reduction amount.</t>
  </si>
  <si>
    <t>Classification, fair value of distinct service if applicable, and revenue reduction.</t>
  </si>
  <si>
    <t>Route approved revenue-reducing amounts into transaction price; keep genuine purchases of customer services outside the revenue allocation engine except for any excess reduction.</t>
  </si>
  <si>
    <t>FASB ASC; Deloitte Revenue Recognition Roadmap §6.6</t>
  </si>
  <si>
    <t>https://asc.fasb.org/
https://dart.deloitte.com/USDART/home/codification/revenue/asc606-10/roadmap-revenue-recognition/chapter-6-step-3-determine-transaction/6-6-consideration-payable-a-customer</t>
  </si>
  <si>
    <t>step3, consideration payable to customer, rebate, credit, marketing allowance, revenue reduction</t>
  </si>
  <si>
    <t>Price Concession Versus Credit Loss</t>
  </si>
  <si>
    <t>ASC 606-10-32-7</t>
  </si>
  <si>
    <t>ASC 606-10-25-1(e); ASC 326</t>
  </si>
  <si>
    <t>An expected or customary price concession is variable consideration and reduces the amount of revenue expected to be entitled to; deterioration in collectibility of an unconditional receivable is generally a credit-loss issue rather than a transaction-price change.</t>
  </si>
  <si>
    <t>1. Determine whether the entity expected to accept less than stated price.
2. Evaluate customary business practice and negotiations.
3. Distinguish pricing variability from customer inability/unwillingness to pay an amount the entity remains entitled to.</t>
  </si>
  <si>
    <t>Contractual amount; billing; concessions; collection history; customer financial condition; post-sale negotiations; write-off policy.</t>
  </si>
  <si>
    <t>The same cash shortfall can have different accounting depending on whether entitlement changed. Avoid using hindsight mechanically; document facts known when the estimate was made.</t>
  </si>
  <si>
    <t>When stated invoicing exceeds expected collections or customer payment behavior changes.</t>
  </si>
  <si>
    <t>Potential concession vs credit-loss classification and supporting facts.</t>
  </si>
  <si>
    <t>Classification and any transaction-price adjustment.</t>
  </si>
  <si>
    <t>Only approved concessions update transaction price; credit-loss calculations remain outside the ASC 606 revenue engine.</t>
  </si>
  <si>
    <t>step3, price concession, bad debt, credit loss, variable consideration</t>
  </si>
  <si>
    <t>Step 4</t>
  </si>
  <si>
    <t>Allocation Objective</t>
  </si>
  <si>
    <t>ASC 606-10-32-28</t>
  </si>
  <si>
    <t>ASC 606-10-32-29 through 32-41</t>
  </si>
  <si>
    <t>Allocate the transaction price to performance obligations in amounts that depict the consideration the entity expects to be entitled to in exchange for transferring each promised good or service.</t>
  </si>
  <si>
    <t>1. Determine approved transaction price.
2. Determine SSPs.
3. Apply relative SSP allocation unless a specific discount or variable-consideration exception applies.
4. Ensure total allocated consideration equals transaction price.</t>
  </si>
  <si>
    <t>Transaction price; PO list; SSPs; discounts; variable components; exception judgments.</t>
  </si>
  <si>
    <t>Relative SSP is the general mechanism, not an end in itself. Specific allocation exceptions are applied when their criteria better achieve the allocation objective.</t>
  </si>
  <si>
    <t>Every multi-PO contract after Step 3.</t>
  </si>
  <si>
    <t>Applicable allocation method and potential exceptions.</t>
  </si>
  <si>
    <t>SSPs, exception judgments, and final allocation treatment.</t>
  </si>
  <si>
    <t>Perform deterministic allocation in integer cents and enforce exact reconciliation to approved consideration.</t>
  </si>
  <si>
    <t>FASB ASC; Deloitte Revenue Recognition Roadmap Ch. 7</t>
  </si>
  <si>
    <t>https://asc.fasb.org/
https://dart.deloitte.com/USDART/home/codification/revenue/asc606-10/roadmap-revenue-recognition/chapter-7-step-4-allocate-transaction</t>
  </si>
  <si>
    <t>step4, allocation objective, transaction price, SSP, performance obligation</t>
  </si>
  <si>
    <t>Relative Stand-Alone Selling Price Allocation</t>
  </si>
  <si>
    <t>ASC 606-10-32-29</t>
  </si>
  <si>
    <t>ASC 606-10-32-30</t>
  </si>
  <si>
    <t>Unless an allocation exception applies, the transaction price is allocated to each performance obligation in proportion to its standalone selling price at contract inception.</t>
  </si>
  <si>
    <t>1. Determine SSP for each PO.
2. Sum SSPs.
3. Compute each PO’s SSP proportion.
4. Multiply transaction price by proportions.
5. Resolve cent rounding without changing total consideration.</t>
  </si>
  <si>
    <t>Approved POs; SSP amounts; approved transaction price; exception amounts.</t>
  </si>
  <si>
    <t>SSP percentages are allocation weights, not revenue-recognition percentages. SSPs are determined at contract inception and are not generally remeasured after inception for the original allocation.</t>
  </si>
  <si>
    <t>Contracts with two or more POs and no specific exception for all consideration.</t>
  </si>
  <si>
    <t>Proposed SSP inputs and identification of amounts subject to general allocation.</t>
  </si>
  <si>
    <t>SSP amounts/bases and any exceptions.</t>
  </si>
  <si>
    <t>Use exact integer-cents allocation with deterministic residual handling so allocated cents equal the amount being allocated exactly.</t>
  </si>
  <si>
    <t>step4, relative SSP, allocation, multi-element, cents rounding</t>
  </si>
  <si>
    <t>SSP Determination at Contract Inception</t>
  </si>
  <si>
    <t>ASC 606-10-32-31 through 32-35</t>
  </si>
  <si>
    <t>Standalone selling prices used for allocation are determined at contract inception for the distinct goods/services underlying each performance obligation.</t>
  </si>
  <si>
    <t>1. Identify observable SSP when available.
2. If not observable, estimate SSP using all reasonably available information.
3. Apply methods consistently in similar circumstances.</t>
  </si>
  <si>
    <t>Standalone sales; price lists; negotiated prices; market data; cost/margin data; customer class/geography; historical pricing.</t>
  </si>
  <si>
    <t>A contract’s stated line-item price is not automatically SSP. SSP is the price at which the entity would sell the promised good/service separately to a customer.</t>
  </si>
  <si>
    <t>Before Step 4 allocation and when new POs arise from modifications.</t>
  </si>
  <si>
    <t>Observable/estimated SSP and supporting evidence/method.</t>
  </si>
  <si>
    <t>SSP amount and basis for each PO.</t>
  </si>
  <si>
    <t>Require positive approved SSP for every standard/material-right PO that participates in relative allocation; retain SSP basis text.</t>
  </si>
  <si>
    <t>FASB ASC; Deloitte Revenue Recognition Roadmap §7.3</t>
  </si>
  <si>
    <t>https://asc.fasb.org/
https://dart.deloitte.com/USDART/home/codification/revenue/asc606-10/roadmap-revenue-recognition/chapter-7-step-4-allocate-transaction/7-3-determine-stand-alone-selling</t>
  </si>
  <si>
    <t>step4, standalone selling price, SSP, contract inception, observable price</t>
  </si>
  <si>
    <t>Observable Stand-Alone Selling Price</t>
  </si>
  <si>
    <t>ASC 606-10-32-31</t>
  </si>
  <si>
    <t>ASC 606-10-32-32 through 32-35</t>
  </si>
  <si>
    <t>The best evidence of SSP is an observable price when the entity sells the good or service separately in similar circumstances to similar customers.</t>
  </si>
  <si>
    <t>1. Identify separate sales of the same/similar good or service.
2. Evaluate comparability of customer, geography, volume, term, and other circumstances.
3. Use observable pricing evidence when sufficiently comparable.</t>
  </si>
  <si>
    <t>Historical standalone transactions; price lists; discount ranges; customer segment; geography; term/volume.</t>
  </si>
  <si>
    <t>A list price is not presumed to be SSP if actual standalone sales routinely differ. Observable evidence may be a range rather than one exact price.</t>
  </si>
  <si>
    <t>When the entity separately sells SaaS, implementation, training, support, modules, or other promises.</t>
  </si>
  <si>
    <t>Candidate observable SSP/range and comparability evidence.</t>
  </si>
  <si>
    <t>Selected SSP and basis.</t>
  </si>
  <si>
    <t>Store SSP as accountant-approved cents and basis; the engine does not estimate market pricing.</t>
  </si>
  <si>
    <t>step4, observable SSP, standalone sale, price list, discount range</t>
  </si>
  <si>
    <t>Estimating Stand-Alone Selling Price</t>
  </si>
  <si>
    <t>ASC 606-10-32-32</t>
  </si>
  <si>
    <t>ASC 606-10-32-33 through 32-35</t>
  </si>
  <si>
    <t>When SSP is not directly observable, estimate it at an amount that would maximize observable inputs and faithfully represent the price at which the entity would sell the good/service separately.</t>
  </si>
  <si>
    <t>1. Identify all reasonably available observable inputs.
2. Select an estimation method consistent with those facts.
3. Consider market, customer, cost, and margin information.
4. Apply consistently to similar goods/services and circumstances.</t>
  </si>
  <si>
    <t>Market pricing; competitor data; customer willingness to pay; costs; target margin; historical bundles; pricing ranges.</t>
  </si>
  <si>
    <t>The standard does not require one estimation method. A method should be supportable and consistent, and a wide range of selling prices may require additional analysis.</t>
  </si>
  <si>
    <t>New modules, bespoke services, or bundled offerings without clean standalone sales.</t>
  </si>
  <si>
    <t>Possible estimation method and inputs; uncertainty/range.</t>
  </si>
  <si>
    <t>Method, assumptions, and selected SSP.</t>
  </si>
  <si>
    <t>Accept approved SSP as input; keep estimation support in the workpaper rather than performing black-box SSP valuation.</t>
  </si>
  <si>
    <t>step4, SSP estimate, market assessment, expected cost plus margin, residual approach</t>
  </si>
  <si>
    <t>SSP Estimation Methods</t>
  </si>
  <si>
    <t>ASC 606-10-32-34</t>
  </si>
  <si>
    <t>Suitable SSP estimation approaches can include adjusted market assessment, expected cost plus margin, and in limited circumstances a residual approach; other methods may also be acceptable when they meet the allocation objective.</t>
  </si>
  <si>
    <t>1. Adjusted market assessment: estimate customer willingness to pay using market/competitor data.
2. Cost plus margin: forecast fulfillment costs and add an appropriate margin.
3. Residual approach: use only when the qualifying conditions for highly variable/uncertain SSP are met.
4. Document why the method is appropriate.</t>
  </si>
  <si>
    <t>Market/competitor data; cost forecasts; target margins; historical pricing variability; observable SSPs of other promises.</t>
  </si>
  <si>
    <t>The residual approach is not a default plug and may require safeguards where multiple items have uncertain SSPs. Estimation methods can be combined when appropriate.</t>
  </si>
  <si>
    <t>When a PO lacks directly observable SSP.</t>
  </si>
  <si>
    <t>Candidate method and rationale based on available evidence.</t>
  </si>
  <si>
    <t>Selected method and SSP.</t>
  </si>
  <si>
    <t>Store approved SSP and method label/rationale; deterministic allocation starts only after approval.</t>
  </si>
  <si>
    <t>step4, SSP method, adjusted market, cost plus margin, residual approach</t>
  </si>
  <si>
    <t>Discount Allocation — General Rule</t>
  </si>
  <si>
    <t>ASC 606-10-32-36</t>
  </si>
  <si>
    <t>ASC 606-10-32-37 through 32-38</t>
  </si>
  <si>
    <t>A contract discount generally is allocated proportionately to all performance obligations based on relative SSP unless observable evidence supports allocating the entire discount to one or more, but not all, performance obligations.</t>
  </si>
  <si>
    <t>1. Compare total SSP with transaction price to identify discount.
2. Apply relative SSP by default.
3. Evaluate specific-discount exception only when observable evidence supports it.</t>
  </si>
  <si>
    <t>Total SSP; transaction price; standalone sales; bundle discounts; pricing practices; observable combinations.</t>
  </si>
  <si>
    <t>A contract-level discount is not automatically assigned to the most discounted invoice line. The accounting follows the allocation objective and exception criteria.</t>
  </si>
  <si>
    <t>Discounted multi-PO contracts.</t>
  </si>
  <si>
    <t>Amount of discount and whether facts suggest a specific-discount exception.</t>
  </si>
  <si>
    <t>Exception judgment if used.</t>
  </si>
  <si>
    <t>Allocate discount through the general SSP pool unless an approved specific-discount exception is recorded.</t>
  </si>
  <si>
    <t>FASB ASC; Deloitte Revenue Recognition Roadmap §7.4</t>
  </si>
  <si>
    <t>https://asc.fasb.org/
https://dart.deloitte.com/USDART/home/codification/revenue/asc606-10/roadmap-revenue-recognition/chapter-7-step-4-allocate-transaction/7-4-allocation-a-discount</t>
  </si>
  <si>
    <t>step4, discount, relative SSP, allocation, bundle pricing</t>
  </si>
  <si>
    <t>Discount Allocation — Specific Exception</t>
  </si>
  <si>
    <t>ASC 606-10-32-37</t>
  </si>
  <si>
    <t>ASC 606-10-32-38</t>
  </si>
  <si>
    <t>A discount may be allocated entirely to one or more, but not all, performance obligations when observable evidence demonstrates the discount relates specifically to those obligations.</t>
  </si>
  <si>
    <t>Evaluate whether: 1. Each good/service is regularly sold separately.
2. A bundle of some goods/services is regularly sold at a discount.
3. The bundle discount is substantially the same as the contract discount and analysis supports attribution to the selected obligations.</t>
  </si>
  <si>
    <t>Standalone sales; bundle sales; historical discount ranges; contract pricing; selected PO group.</t>
  </si>
  <si>
    <t>The criteria are demanding and evidence-based. If the exception applies before using a residual approach, the sequence of allocation guidance matters.</t>
  </si>
  <si>
    <t>Contracts with observable product/service bundles receiving targeted discounts.</t>
  </si>
  <si>
    <t>Whether the specific discount exception appears met and target POs.</t>
  </si>
  <si>
    <t>Exception criteria and target POs.</t>
  </si>
  <si>
    <t>If approved, deterministically allocate the discount to the approved target POs and allocate remaining consideration consistently with Step 4.</t>
  </si>
  <si>
    <t>step4, discount exception, specific allocation, observable evidence</t>
  </si>
  <si>
    <t>Variable Consideration — What It Relates To</t>
  </si>
  <si>
    <t>ASC 606-10-32-39</t>
  </si>
  <si>
    <t>ASC 606-10-32-40 through 32-41</t>
  </si>
  <si>
    <t>Variable consideration may relate to the entire contract, a specific performance obligation, or a specific distinct good/service within a series; that relationship is evaluated before deciding how the variable amount is allocated.</t>
  </si>
  <si>
    <t>1. Identify the event/activity that drives the variability.
2. Identify which promise, PO, or distinct series element it economically relates to.
3. Evaluate the 32-40 allocation exception.
4. If exception is not met, use general allocation.</t>
  </si>
  <si>
    <t>Variable component description; performance/usage trigger; target PO/service period; SSPs; pricing objective; contract clauses.</t>
  </si>
  <si>
    <t>“Relates specifically” is necessary but not sufficient for specific allocation; the allocation also must be consistent with the overall allocation objective.</t>
  </si>
  <si>
    <t>Every variable-consideration component, especially bonuses and usage-based fees.</t>
  </si>
  <si>
    <t>Potential relationship target (whole contract, PO, or series period) and supporting evidence.</t>
  </si>
  <si>
    <t>Relationship and allocation-exception judgment.</t>
  </si>
  <si>
    <t>Phase 5B supports general, specific_po, and specific_series_period treatments only after approved judgments.</t>
  </si>
  <si>
    <t>FASB ASC; Deloitte Revenue Recognition Roadmap §7.5</t>
  </si>
  <si>
    <t>https://asc.fasb.org/
https://dart.deloitte.com/USDART/home/codification/revenue/asc606-10/roadmap-revenue-recognition/chapter-7-step-4-allocate-transaction/7-5-allocation-variable-consideration</t>
  </si>
  <si>
    <t>step4, variable consideration, relates specifically, performance obligation, series period, Phase 5B</t>
  </si>
  <si>
    <t>Variable Consideration Allocation Exception</t>
  </si>
  <si>
    <t>ASC 606-10-32-40</t>
  </si>
  <si>
    <t>ASC 606-10-32-39; ASC 606-10-32-41</t>
  </si>
  <si>
    <t>Variable consideration is allocated entirely to a performance obligation or distinct good/service within a series when the payment terms relate specifically to that target and allocating the amount there is consistent with the allocation objective.</t>
  </si>
  <si>
    <t>Both must be satisfied: 1. The variable payment relates specifically to the entity’s effort to satisfy, or a specific outcome from satisfying, the target PO/distinct service.
2. Allocating the amount entirely to the target is consistent with the allocation objective when considering all POs and payment terms.</t>
  </si>
  <si>
    <t>Variable term; target PO/service period; SSPs; fixed pricing; comparable standalone pricing; reason variability arises.</t>
  </si>
  <si>
    <t>This is an accountant judgment, not a billing rule. The exception can apply to a distinct service within a series even though the series is one PO. If criteria fail, the variable amount returns to general allocation.</t>
  </si>
  <si>
    <t>Implementation bonuses, usage-based SaaS fees, performance fees, period-specific variable payments.</t>
  </si>
  <si>
    <t>Proposed yes/no for each criterion, target, reasoning, and source evidence.</t>
  </si>
  <si>
    <t>Both criteria, target, and rationale.</t>
  </si>
  <si>
    <t>When approved, route included estimated VC to the selected PO or actual usage VC to selected series periods. If not approved, use general relative-SSP allocation.</t>
  </si>
  <si>
    <t>step4, 32-40, variable allocation exception, specific PO, series, Phase 5B</t>
  </si>
  <si>
    <t>Remaining Consideration After Variable Allocation</t>
  </si>
  <si>
    <t>ASC 606-10-32-41</t>
  </si>
  <si>
    <t>ASC 606-10-32-28 through 32-40</t>
  </si>
  <si>
    <t>After applying the variable-consideration allocation guidance, the remaining transaction price is allocated using the general Step 4 allocation requirements.</t>
  </si>
  <si>
    <t>1. Identify variable consideration specifically allocated under 32-40.
2. Remove that amount from the general allocation pool.
3. Allocate the remaining consideration to POs under relative SSP and applicable discount guidance.
4. Reconcile total allocation to total transaction price.</t>
  </si>
  <si>
    <t>Total transaction price; specific variable amounts; target POs; SSPs; discounts.</t>
  </si>
  <si>
    <t>Do not apply relative SSP to a variable amount after it has qualified for specific allocation, and do not “double count” the component in both pools.</t>
  </si>
  <si>
    <t>Contracts combining fixed consideration with a specifically allocated bonus or other variable amount.</t>
  </si>
  <si>
    <t>General-pool amount after exception treatment and reconciliation.</t>
  </si>
  <si>
    <t>Specific allocations and remaining general pool.</t>
  </si>
  <si>
    <t>Deterministically calculate general pool = approved transaction price less specifically allocated estimated components; allocate exactly to cents.</t>
  </si>
  <si>
    <t>step4, remaining consideration, allocation pool, specific variable, Phase 5B</t>
  </si>
  <si>
    <t>Changes in Transaction Price After Inception</t>
  </si>
  <si>
    <t>ASC 606-10-32-42</t>
  </si>
  <si>
    <t>ASC 606-10-32-43 through 32-45</t>
  </si>
  <si>
    <t>Changes in transaction price after contract inception are allocated to performance obligations on the same basis used at contract inception, subject to specific guidance for contract modifications and variable consideration.</t>
  </si>
  <si>
    <t>1. Determine the reason and amount of transaction-price change.
2. Determine whether it relates to a contract modification.
3. Apply the original allocation basis/exception to the change.
4. Recognize amounts allocated to satisfied POs as revenue or reduction of revenue in the period of change.</t>
  </si>
  <si>
    <t>Prior transaction price/allocation; reason for change; variable component; modification status; PO satisfaction to date.</t>
  </si>
  <si>
    <t>Original SSPs are generally not recomputed merely because transaction price changes. Changes allocated to already satisfied performance can create a cumulative catch-up in the current period.</t>
  </si>
  <si>
    <t>Variable-consideration remeasurements, resolved contingencies, price concessions after inception.</t>
  </si>
  <si>
    <t>Cause and amount of change, affected component/PO, and whether modification guidance is implicated.</t>
  </si>
  <si>
    <t>Classification and allocation basis for the change.</t>
  </si>
  <si>
    <t>Phase 5B records dated VC changes and deterministically applies the component’s locked allocation treatment; Phase 5C handles contract modifications separately.</t>
  </si>
  <si>
    <t>FASB ASC; Deloitte Revenue Recognition Roadmap §7.6</t>
  </si>
  <si>
    <t>https://asc.fasb.org/
https://dart.deloitte.com/USDART/home/codification/revenue/asc606-10/roadmap-revenue-recognition/chapter-7-step-4-allocate-transaction/7-6-changes-in-transaction-price</t>
  </si>
  <si>
    <t>step4, transaction price change, remeasurement, allocation, cumulative catch-up</t>
  </si>
  <si>
    <t>Allocating Subsequent Transaction-Price Changes</t>
  </si>
  <si>
    <t>ASC 606-10-32-43</t>
  </si>
  <si>
    <t>ASC 606-10-32-42; ASC 606-10-32-44 through 32-45</t>
  </si>
  <si>
    <t>A transaction-price change is generally allocated using the same allocation basis as at contract inception, including an applicable variable-consideration allocation exception.</t>
  </si>
  <si>
    <t>1. Identify the component that changed.
2. Apply the component’s original relationship/allocation treatment.
3. Determine current-period catch-up for satisfied performance.
4. Update remaining revenue prospectively for unsatisfied performance.</t>
  </si>
  <si>
    <t>Original allocation treatment; change amount; PO completion percentage; prior revenue; remaining service period.</t>
  </si>
  <si>
    <t>The accounting follows what the change relates to, not merely the invoice or cash event that reveals it. A specific variable component remains specific if the underlying relationship remains unchanged.</t>
  </si>
  <si>
    <t>Remeasurements and uncertainty resolutions after revenue has begun.</t>
  </si>
  <si>
    <t>Affected PO(s), catch-up implication, and reasoning.</t>
  </si>
  <si>
    <t>Allocation treatment and dated change amount.</t>
  </si>
  <si>
    <t>Compute delta and cumulative entitlement using existing deterministic recognition logic; no retrospective overwriting of historical event records.</t>
  </si>
  <si>
    <t>step4, subsequent change, catch-up, allocation basis, Phase 5B</t>
  </si>
  <si>
    <t>Transaction-Price Changes After a Contract Modification</t>
  </si>
  <si>
    <t>ASC 606-10-32-45</t>
  </si>
  <si>
    <t>ASC 606-10-25-10 through 25-13; ASC 606-10-32-42 through 32-44</t>
  </si>
  <si>
    <t>When a transaction-price change occurs after a contract modification, the entity determines whether the change is attributable to consideration promised before or as part of the modification and applies the appropriate original or modified contract accounting.</t>
  </si>
  <si>
    <t>1. Identify timing and cause of transaction-price change.
2. Identify whether related variability was promised before the modification.
3. Apply modification accounting and subsequent-change guidance to the appropriate contract segment.</t>
  </si>
  <si>
    <t>Original contract; modification date/terms; variable component inception; change/resolution date; remaining POs.</t>
  </si>
  <si>
    <t>This prevents later variable-consideration changes from being automatically attributed to the newest modification when they economically relate to the original contract.</t>
  </si>
  <si>
    <t>Modified contracts with unresolved bonuses, rebates, usage terms, or contingencies.</t>
  </si>
  <si>
    <t>Which contract segment/component the change appears to relate to and why.</t>
  </si>
  <si>
    <t>Attribution of the change and modification treatment.</t>
  </si>
  <si>
    <t>Reserved for Phase 5C integration: preserve component provenance and modification segment IDs so subsequent changes can be routed deterministically.</t>
  </si>
  <si>
    <t>FASB ASC; Deloitte Revenue Recognition Roadmap §7.6 and Ch. 9</t>
  </si>
  <si>
    <t>https://asc.fasb.org/
https://dart.deloitte.com/USDART/home/codification/revenue/asc606-10/roadmap-revenue-recognition/chapter-7-step-4-allocate-transaction/7-6-changes-in-transaction-price
https://dart.deloitte.com/USDART/home/codification/revenue/asc606-10/roadmap-revenue-recognition/chapter-9-contract-modifications/9-2-types-contract-modifications</t>
  </si>
  <si>
    <t>step4, transaction price change, contract modification, attribution, Phase 5C</t>
  </si>
  <si>
    <t>Step 5</t>
  </si>
  <si>
    <t>Recognition When or As Control Transfers</t>
  </si>
  <si>
    <t>ASC 606-10-25-23</t>
  </si>
  <si>
    <t>ASC 606-10-25-24 through 25-30</t>
  </si>
  <si>
    <t>Revenue is recognized when or as the entity satisfies a performance obligation by transferring control of the promised good or service to the customer.</t>
  </si>
  <si>
    <t>1. Start with the approved performance obligation.
2. Determine whether control transfers over time or at a point in time.
3. For over-time POs, measure progress.
4. For point-in-time POs, identify the control-transfer date.</t>
  </si>
  <si>
    <t>PO description; nature of promise; control facts; service/performance dates; customer rights; acceptance/payment terms.</t>
  </si>
  <si>
    <t>Billing, invoice issuance, or cash receipt does not by itself determine revenue timing. Recognition is driven by satisfaction of the PO/control transfer.</t>
  </si>
  <si>
    <t>For every performance obligation after allocation.</t>
  </si>
  <si>
    <t>Proposed over-time/point-in-time pattern and supporting facts.</t>
  </si>
  <si>
    <t>Recognition pattern, relevant dates, and rationale.</t>
  </si>
  <si>
    <t>Use approved recognition inputs to generate deterministic schedules; billing/right events remain separate streams.</t>
  </si>
  <si>
    <t>FASB ASC; Deloitte Revenue Recognition Roadmap Ch. 8</t>
  </si>
  <si>
    <t>https://asc.fasb.org/
https://dart.deloitte.com/USDART/home/codification/revenue/asc606-10/roadmap-revenue-recognition/chapter-8-step-5-determine-when/8-4-revenue-recognized-over-time
https://dart.deloitte.com/USDART/home/codification/revenue/asc606-10/roadmap-revenue-recognition/chapter-8-step-5-determine-when/8-6-revenue-recognized-a-point</t>
  </si>
  <si>
    <t>step5, recognition, control, satisfaction, revenue timing</t>
  </si>
  <si>
    <t>Over-Time Versus Point-in-Time Classification</t>
  </si>
  <si>
    <t>ASC 606-10-25-24</t>
  </si>
  <si>
    <t>ASC 606-10-25-27 through 25-30</t>
  </si>
  <si>
    <t>A performance obligation is satisfied over time if any criterion in 25-27 is met; otherwise it is satisfied at a point in time under 25-30.</t>
  </si>
  <si>
    <t>1. Evaluate 25-27(a).
2. Evaluate 25-27(b).
3. Evaluate 25-27(c), including both no alternative use and enforceable right to payment.
4. If none are met, apply point-in-time control indicators.</t>
  </si>
  <si>
    <t>Nature of service; asset creation/control; alternative-use restrictions; payment rights; termination rights; acceptance/control indicators.</t>
  </si>
  <si>
    <t>There is no default that “services are over time” or “deliverables are point in time.” Each PO must be assessed. Criterion (c) requires both conditions.</t>
  </si>
  <si>
    <t>For each PO after Step 4 allocation.</t>
  </si>
  <si>
    <t>Analysis of all three over-time criteria and fallback point-in-time conclusion.</t>
  </si>
  <si>
    <t>Final recognition classification.</t>
  </si>
  <si>
    <t>Block finalized scheduling until a recognition method and required date/range are approved.</t>
  </si>
  <si>
    <t>FASB ASC; Deloitte Revenue Recognition Roadmap §§8.4 and 8.6</t>
  </si>
  <si>
    <t>step5, over time, point in time, 25-27, 25-30</t>
  </si>
  <si>
    <t>Control — Definition and Benefits</t>
  </si>
  <si>
    <t>ASC 606-10-25-25</t>
  </si>
  <si>
    <t>ASC 606-10-25-23 through 25-26; ASC 606-10-25-30</t>
  </si>
  <si>
    <t>Control is the ability to direct the use of and obtain substantially all remaining benefits from an asset, including the ability to prevent other entities from directing its use or obtaining its benefits.</t>
  </si>
  <si>
    <t>1. Identify the asset/service being transferred.
2. Determine who directs its use.
3. Determine who obtains the economic benefits.
4. Consider restrictions and rights that affect control.</t>
  </si>
  <si>
    <t>Legal title; possession; use rights; customer instructions; economic benefits; restrictions; acceptance/payment rights.</t>
  </si>
  <si>
    <t>Control is broader than legal title or physical possession. For services, the transfer analysis is often captured through the over-time criteria.</t>
  </si>
  <si>
    <t>When determining transfer timing, particularly for products, licenses, custom assets, and acceptance terms.</t>
  </si>
  <si>
    <t>Control indicators and evidence; no automatic conclusion from one indicator.</t>
  </si>
  <si>
    <t>Control-transfer conclusion.</t>
  </si>
  <si>
    <t>Use approved control date/pattern as recognition input; do not derive from invoice date.</t>
  </si>
  <si>
    <t>https://asc.fasb.org/
https://dart.deloitte.com/USDART/home/codification/revenue/asc606-10/roadmap-revenue-recognition/chapter-8-step-5-determine-when/8-6-revenue-recognized-a-point</t>
  </si>
  <si>
    <t>step5, control, benefits, direct use, legal title, possession</t>
  </si>
  <si>
    <t>Repurchase Rights and Control</t>
  </si>
  <si>
    <t>ASC 606-10-25-26</t>
  </si>
  <si>
    <t>ASC 606-10-55-66 through 55-78</t>
  </si>
  <si>
    <t>When the entity has a right or obligation to repurchase an asset, the customer may not obtain control even if legal title or possession transfers; the arrangement may instead be a lease or financing depending on the repurchase terms.</t>
  </si>
  <si>
    <t>1. Identify forward, call option, or put option.
2. Compare repurchase price and expected market value.
3. Evaluate customer economic incentive for put options.
4. Apply the relevant lease/financing/return guidance.</t>
  </si>
  <si>
    <t>Repurchase type; exercise price; original selling price; expected market value; time value of money; customer incentive; asset type.</t>
  </si>
  <si>
    <t>Repurchase accounting is specialized; a sale invoice is not evidence of revenue if control is constrained by substantive repurchase rights.</t>
  </si>
  <si>
    <t>Product arrangements with buybacks, residual-value guarantees, forwards, puts, or calls.</t>
  </si>
  <si>
    <t>Presence/type of repurchase right and likely applicable branch.</t>
  </si>
  <si>
    <t>Final branch and assumptions.</t>
  </si>
  <si>
    <t>Flag as special-topic analysis; core point-in-time engine should not finalize revenue until accountant approves repurchase treatment.</t>
  </si>
  <si>
    <t>FASB ASC; Deloitte Revenue Recognition Roadmap Ch. 8 and implementation guidance</t>
  </si>
  <si>
    <t>https://asc.fasb.org/
https://dart.deloitte.com/USDART/home/codification/revenue/asc606-10/roadmap-revenue-recognition/chapter-8-step-5-determine-when/8-6-revenue-recognized-a-point
https://dart.deloitte.com/USDART/home/codification/revenue/asc606-10/roadmap-revenue-recognition</t>
  </si>
  <si>
    <t>step5, repurchase, forward, call option, put option, control</t>
  </si>
  <si>
    <t>Over-Time Criterion A — Simultaneous Receipt and Consumption</t>
  </si>
  <si>
    <t>ASC 606-10-25-27(a)</t>
  </si>
  <si>
    <t>ASC 606-10-55-5 through 55-6</t>
  </si>
  <si>
    <t>A performance obligation is satisfied over time when the customer simultaneously receives and consumes the benefits of the entity’s performance as the entity performs.</t>
  </si>
  <si>
    <t>1. Determine whether benefits are consumed as performed.
2. If another entity had to complete the remaining obligation, assess whether it would need to substantially reperform work already completed.
3. Conclude criterion (a) if benefits are consumed contemporaneously.</t>
  </si>
  <si>
    <t>Nature of recurring service; customer benefit; work completed to date; need for re-performance by a replacement provider.</t>
  </si>
  <si>
    <t>Routine/recurring services often meet this criterion. The assessment focuses on customer benefit, not merely that the entity incurs effort over time.</t>
  </si>
  <si>
    <t>SaaS access, hosting, support, cleaning, processing, monitoring, and many recurring services.</t>
  </si>
  <si>
    <t>Whether criterion (a) appears met and why.</t>
  </si>
  <si>
    <t>Criterion (a) conclusion.</t>
  </si>
  <si>
    <t>If approved and PO is ratable/series, generate over-time schedule using approved progress method and dates.</t>
  </si>
  <si>
    <t>FASB ASC; Deloitte Revenue Recognition Roadmap §8.4</t>
  </si>
  <si>
    <t>https://asc.fasb.org/
https://dart.deloitte.com/USDART/home/codification/revenue/asc606-10/roadmap-revenue-recognition/chapter-8-step-5-determine-when/8-4-revenue-recognized-over-time</t>
  </si>
  <si>
    <t>step5, 25-27(a), simultaneous receipt, consumption, recurring service, SaaS</t>
  </si>
  <si>
    <t>Over-Time Criterion B — Customer Controls Asset as Created</t>
  </si>
  <si>
    <t>ASC 606-10-25-27(b)</t>
  </si>
  <si>
    <t>ASC 606-10-55-7; ASC 606-10-25-25</t>
  </si>
  <si>
    <t>A performance obligation is satisfied over time when the entity creates or enhances an asset that the customer controls as the asset is created or enhanced.</t>
  </si>
  <si>
    <t>1. Identify the asset being created/enhanced.
2. Apply the control principle during production/performance.
3. Determine whether the customer controls work in process as it is created.</t>
  </si>
  <si>
    <t>Asset location/title; customer ownership rights; restrictions; ability to direct use; work-in-process rights; contractual/legal control.</t>
  </si>
  <si>
    <t>The asset can be tangible or intangible. Customer ownership of land on which an asset is built may be relevant but facts and law govern control.</t>
  </si>
  <si>
    <t>Construction, development, or enhancement work on customer-controlled assets.</t>
  </si>
  <si>
    <t>Whether customer control exists during creation/enhancement and supporting facts.</t>
  </si>
  <si>
    <t>Criterion (b) conclusion.</t>
  </si>
  <si>
    <t>If approved, use over-time recognition; progress method remains a separate approved judgment.</t>
  </si>
  <si>
    <t>step5, 25-27(b), customer controls asset, work in process, construction</t>
  </si>
  <si>
    <t>Over-Time Criterion C — No Alternative Use and Right to Payment</t>
  </si>
  <si>
    <t>ASC 606-10-25-27(c)</t>
  </si>
  <si>
    <t>ASC 606-10-25-28 through 25-29; ASC 606-10-55-8 through 55-15</t>
  </si>
  <si>
    <t>A performance obligation is satisfied over time under criterion (c) only when the asset created has no alternative use to the entity and the entity has an enforceable right to payment for performance completed to date.</t>
  </si>
  <si>
    <t>Both must be met: 1. No alternative use to the entity because of contractual restrictions or practical limitations.
2. Enforceable right to payment for performance completed to date, including a reasonable profit margin, if the customer terminates for reasons other than entity nonperformance.</t>
  </si>
  <si>
    <t>Contractual redirection restrictions; asset specificity; practical rework costs; termination clauses; payment rights; applicable law; profit/margin protection.</t>
  </si>
  <si>
    <t>Failure of either condition means criterion (c) fails. “Alternative use” is assessed from the entity’s perspective. A right only to recover costs or a deposit may not be sufficient.</t>
  </si>
  <si>
    <t>Custom implementation, bespoke manufacturing, development, and other customer-specific assets/services.</t>
  </si>
  <si>
    <t>Separate proposed conclusions for no alternative use and right to payment, with contract/legal evidence.</t>
  </si>
  <si>
    <t>Both sub-criteria and final criterion (c) conclusion.</t>
  </si>
  <si>
    <t>Model each sub-criterion explicitly; do not allow AI to infer over-time recognition unless accountant approves both.</t>
  </si>
  <si>
    <t>step5, 25-27(c), alternative use, right to payment, enforceability, custom service</t>
  </si>
  <si>
    <t>Alternative Use</t>
  </si>
  <si>
    <t>ASC 606-10-25-28</t>
  </si>
  <si>
    <t>ASC 606-10-25-27(c); ASC 606-10-55-8 through 55-10</t>
  </si>
  <si>
    <t>An asset has no alternative use to the entity when the entity is contractually restricted or practically limited from readily directing the asset to another customer during creation.</t>
  </si>
  <si>
    <t>1. Identify contractual restrictions on redirection.
2. Determine whether restrictions are substantive/enforceable.
3. Assess practical limitations such as significant rework or economic loss required to redirect.
4. Evaluate at contract inception and do not update unless a modification substantively changes the obligation.</t>
  </si>
  <si>
    <t>Customization; customer specifications; alternative customer demand; rework cost; contract restrictions; economic loss from redirection.</t>
  </si>
  <si>
    <t>The question is alternative use to the entity, not the customer. A generic product may have alternative use even if currently designated for one customer; highly customized output may not.</t>
  </si>
  <si>
    <t>Criterion 25-27(c) analysis.</t>
  </si>
  <si>
    <t>Whether alternative use exists and why.</t>
  </si>
  <si>
    <t>No-alternative-use judgment.</t>
  </si>
  <si>
    <t>Store as accountant-approved judgment feeding 25-27(c); no arithmetic consequence until combined with right-to-payment conclusion.</t>
  </si>
  <si>
    <t>step5, alternative use, redirection, customization, 25-28</t>
  </si>
  <si>
    <t>Enforceable Right to Payment for Performance Completed to Date</t>
  </si>
  <si>
    <t>ASC 606-10-25-29</t>
  </si>
  <si>
    <t>ASC 606-10-25-27(c); ASC 606-10-55-11 through 55-15</t>
  </si>
  <si>
    <t>A right to payment supports criterion 25-27(c) when, if the customer terminates for reasons other than entity nonperformance, the entity would be entitled to compensation for performance completed to date that approximates the selling price of that performance, including a reasonable profit margin.</t>
  </si>
  <si>
    <t>1. Analyze termination clauses and applicable law.
2. Determine amount legally enforceable on termination.
3. Assess whether payment compensates performance completed to date rather than only costs/deposit.
4. Consider customary legal remedies if contract language is silent.</t>
  </si>
  <si>
    <t>Termination rights; payment formula; milestones; deposits; cost/profit information; legal precedent/advice; governing law.</t>
  </si>
  <si>
    <t>The right must be enforceable, not merely expected commercially. If no enforceable right exists until final completion, 25-27(c) fails even if the asset has no alternative use.</t>
  </si>
  <si>
    <t>Custom services, implementation, development, manufacturing, construction.</t>
  </si>
  <si>
    <t>Contract clauses bearing on payment rights, amount recoverable, and whether legal input is needed.</t>
  </si>
  <si>
    <t>Right-to-payment conclusion and legal assumptions.</t>
  </si>
  <si>
    <t>Store separately from alternative-use judgment. If false and (a)/(b) are also false, route PO to point-in-time recognition.</t>
  </si>
  <si>
    <t>step5, right to payment, enforceable, termination, 25-29, implementation</t>
  </si>
  <si>
    <t>Point-in-Time Recognition</t>
  </si>
  <si>
    <t>ASC 606-10-25-30</t>
  </si>
  <si>
    <t>ASC 606-10-25-23 through 25-26; ASC 606-10-25-27 through 25-29</t>
  </si>
  <si>
    <t>If a performance obligation does not meet any over-time criterion, revenue is recognized at the point in time when the customer obtains control of the promised asset or service output.</t>
  </si>
  <si>
    <t>1. Confirm none of 25-27(a)-(c) is met.
2. Evaluate control-transfer indicators.
3. Identify the actual control-transfer/recognition date.
4. Recognize the full allocated amount in the period containing that date, subject to any other applicable guidance.</t>
  </si>
  <si>
    <t>Completion/delivery date; payment right; legal title; possession; risks/rewards; customer acceptance; control restrictions.</t>
  </si>
  <si>
    <t>Do not substitute month-end for the actual recognition date. A point-in-time PO may be completed mid-month; the accounting period is derived from the actual date.</t>
  </si>
  <si>
    <t>Distinct training, completed implementation, product delivery, certain licenses, milestone outputs.</t>
  </si>
  <si>
    <t>Proposed control-transfer date and relevant indicators.</t>
  </si>
  <si>
    <t>Point-in-time classification and recognition date.</t>
  </si>
  <si>
    <t>Recognize the full allocated cents in the month containing the approved recognition date.</t>
  </si>
  <si>
    <t>FASB ASC; Deloitte Revenue Recognition Roadmap §8.6</t>
  </si>
  <si>
    <t>step5, point in time, control transfer, recognition date, completion</t>
  </si>
  <si>
    <t>Point-in-Time Control Indicators</t>
  </si>
  <si>
    <t>ASC 606-10-25-30(a) through (e)</t>
  </si>
  <si>
    <t>Indicators of point-in-time control include a present right to payment, legal title, physical possession, transfer of significant risks and rewards, and customer acceptance; the indicators are considered together and none is automatically determinative in all arrangements.</t>
  </si>
  <si>
    <t>Evaluate: 1. Present right to payment.
2. Legal title.
3. Physical possession.
4. Significant risks/rewards.
5. Customer acceptance.
Then conclude when control transfers.</t>
  </si>
  <si>
    <t>Payment terms; title terms; shipping/delivery; custody; insurance/risk provisions; acceptance clauses; returns; control restrictions.</t>
  </si>
  <si>
    <t>Legal title can be retained solely as credit protection without preventing control. Physical possession can occur without control in consignment or bill-and-hold arrangements.</t>
  </si>
  <si>
    <t>Product sales, equipment, delivered software/license outputs, completed custom work.</t>
  </si>
  <si>
    <t>Indicator-by-indicator assessment and proposed transfer date.</t>
  </si>
  <si>
    <t>Control-transfer date and rationale.</t>
  </si>
  <si>
    <t>Use one approved recognition date; keep indicator evidence in the workpaper rather than encoding simplistic control rules.</t>
  </si>
  <si>
    <t>step5, control indicators, title, possession, risks rewards, acceptance</t>
  </si>
  <si>
    <t>Measure of Progress — Objective</t>
  </si>
  <si>
    <t>ASC 606-10-25-31</t>
  </si>
  <si>
    <t>ASC 606-10-25-32 through 25-37</t>
  </si>
  <si>
    <t>For a performance obligation satisfied over time, the entity recognizes revenue by measuring progress toward complete satisfaction in a manner that depicts transfer of control of promised goods/services to the customer.</t>
  </si>
  <si>
    <t>1. Define the nature of the PO.
2. Select an output or input method that faithfully depicts transfer.
3. Apply the measure to the approved allocation.
4. Update estimates of progress as circumstances change.</t>
  </si>
  <si>
    <t>PO nature; service dates; outputs/milestones; labor/cost inputs; usage/access pattern; exclusions/inefficiencies.</t>
  </si>
  <si>
    <t>The most convenient metric is not necessarily the best measure of transfer. Billing cadence and cash collection are not measures of progress unless the right-to-invoice practical expedient applies on its own terms.</t>
  </si>
  <si>
    <t>Every over-time PO.</t>
  </si>
  <si>
    <t>Candidate progress method and why it depicts transfer.</t>
  </si>
  <si>
    <t>Progress method, inputs, and rationale.</t>
  </si>
  <si>
    <t>Generate schedules only from approved progress method; Revenue Compass V1 ratable convention is a supported deterministic method for appropriate stand-ready/ratable obligations.</t>
  </si>
  <si>
    <t>FASB ASC; Deloitte Revenue Recognition Roadmap §8.5</t>
  </si>
  <si>
    <t>https://asc.fasb.org/
https://dart.deloitte.com/USDART/home/codification/revenue/asc606-10/roadmap-revenue-recognition/chapter-8-step-5-determine-when/8-5-measuring-progress-for-revenue</t>
  </si>
  <si>
    <t>step5, measure of progress, over time, output method, input method</t>
  </si>
  <si>
    <t>Single Method Applied Consistently</t>
  </si>
  <si>
    <t>ASC 606-10-25-32</t>
  </si>
  <si>
    <t>ASC 606-10-25-31; ASC 606-10-25-33 through 25-37</t>
  </si>
  <si>
    <t>A single method of measuring progress is applied to each over-time performance obligation and is applied consistently to similar performance obligations in similar circumstances.</t>
  </si>
  <si>
    <t>1. Select one method for the PO.
2. Apply consistently over the PO term.
3. Apply consistent methods to similar POs/circumstances unless differences justify another method.</t>
  </si>
  <si>
    <t>Selected method; comparable contracts; service pattern; policy; reason for any change.</t>
  </si>
  <si>
    <t>A series PO is still one performance obligation for measurement, even though distinct service periods may matter for variable allocation. Changing methods to manage revenue patterns is inappropriate.</t>
  </si>
  <si>
    <t>Recurring SaaS/series and long-duration service contracts.</t>
  </si>
  <si>
    <t>Proposed method and consistency with similar arrangements.</t>
  </si>
  <si>
    <t>Method and any policy exceptions.</t>
  </si>
  <si>
    <t>Lock recognition method for the approved PO unless accountant records a justified change in estimate/policy treatment.</t>
  </si>
  <si>
    <t>step5, progress method, consistency, series, policy</t>
  </si>
  <si>
    <t>Output and Input Methods</t>
  </si>
  <si>
    <t>ASC 606-10-25-33</t>
  </si>
  <si>
    <t>ASC 606-10-55-16 through 55-21</t>
  </si>
  <si>
    <t>Appropriate measures of progress include output methods based on direct measures of value transferred and input methods based on the entity’s efforts/resources relative to total expected inputs, provided the method faithfully depicts performance.</t>
  </si>
  <si>
    <t>1. Identify observable outputs/value transferred.
2. Identify relevant inputs if outputs are not suitable.
3. Evaluate exclusions/adjustments for items that do not depict performance.
4. Choose the method that best depicts transfer.</t>
  </si>
  <si>
    <t>Milestones; units delivered; surveys; time elapsed; labor hours; costs incurred; total expected costs; uninstalled materials; inefficiencies.</t>
  </si>
  <si>
    <t>Time elapsed can be an output-style measure for stand-ready services when service is provided evenly. Cost-to-cost can misstate progress if costs include inefficiencies or significant uninstalled materials.</t>
  </si>
  <si>
    <t>Selecting recognition method for over-time POs.</t>
  </si>
  <si>
    <t>Candidate output/input method and evidence supporting faithful depiction.</t>
  </si>
  <si>
    <t>Method and relevant adjustments.</t>
  </si>
  <si>
    <t>Map approved method to supported deterministic schedule type; unsupported methods should be documented/blocked rather than approximated.</t>
  </si>
  <si>
    <t>step5, output method, input method, time elapsed, cost to cost, milestones</t>
  </si>
  <si>
    <t>Exclude Goods/Services Not Transferred From Progress</t>
  </si>
  <si>
    <t>ASC 606-10-25-34</t>
  </si>
  <si>
    <t>ASC 606-10-25-31 through 25-33</t>
  </si>
  <si>
    <t>A measure of progress should exclude goods/services for which control has not transferred and include transferred goods/services so that progress faithfully depicts performance.</t>
  </si>
  <si>
    <t>1. Identify items included in progress metric.
2. Determine whether each item has transferred to customer.
3. Remove inputs/outputs that do not depict transfer.
4. Ensure completed/transferred performance is not omitted.</t>
  </si>
  <si>
    <t>Progress data; materials; subcontractor work; delivered units; customer control; service periods.</t>
  </si>
  <si>
    <t>Operational activity is not automatically progress. An entity may incur costs before the related good/service transfers, requiring adjustment to an input method.</t>
  </si>
  <si>
    <t>Cost-to-cost and milestone methods, especially construction/custom implementations.</t>
  </si>
  <si>
    <t>Potential exclusions/inclusions and rationale.</t>
  </si>
  <si>
    <t>Approved adjusted progress inputs.</t>
  </si>
  <si>
    <t>Use only accountant-approved eligible progress inputs in deterministic calculations.</t>
  </si>
  <si>
    <t>step5, measure progress, transferred goods, excluded inputs, cost to cost</t>
  </si>
  <si>
    <t>Update Measure of Progress — Change in Estimate</t>
  </si>
  <si>
    <t>ASC 606-10-25-35</t>
  </si>
  <si>
    <t>ASC 606-10-25-31 through 25-34; ASC 250</t>
  </si>
  <si>
    <t>For over-time performance, progress is remeasured at each reporting date and changes in the measure of progress are accounted for as changes in accounting estimate as appropriate.</t>
  </si>
  <si>
    <t>1. Update total expected inputs/outputs and progress achieved.
2. Calculate revised cumulative revenue entitlement.
3. Recognize the current-period catch-up needed to reach the revised cumulative amount.</t>
  </si>
  <si>
    <t>Prior progress; current progress; revised total estimates; allocation; prior recognized revenue.</t>
  </si>
  <si>
    <t>Do not rewrite prior-period event history in the workpaper. The current period records the effect of revised cumulative progress, subject to reporting-period correction guidance if prior estimates were errors rather than changes in estimate.</t>
  </si>
  <si>
    <t>Long-duration over-time POs using estimated progress inputs.</t>
  </si>
  <si>
    <t>Updated progress and whether change appears estimate vs potential error.</t>
  </si>
  <si>
    <t>Revised progress inputs and accounting treatment.</t>
  </si>
  <si>
    <t>For supported methods, calculate current cumulative entitlement minus prior recognized revenue; preserve dated changes.</t>
  </si>
  <si>
    <t>step5, progress update, change in estimate, cumulative catch-up</t>
  </si>
  <si>
    <t>Reasonable Measure of Progress</t>
  </si>
  <si>
    <t>ASC 606-10-25-36 through 25-37</t>
  </si>
  <si>
    <t>ASC 606-10-25-31 through 25-35</t>
  </si>
  <si>
    <t>Revenue is recognized over time only when the entity can reasonably measure progress; if it cannot yet reasonably measure progress but expects to recover costs, revenue may be limited to costs incurred until progress can be reasonably measured.</t>
  </si>
  <si>
    <t>1. Determine whether outcome/progress can be measured reasonably.
2. If not, determine whether costs incurred are expected to be recoverable.
3. Apply the limited recognition treatment until a reasonable measure becomes available.</t>
  </si>
  <si>
    <t>Progress uncertainty; cost records; expected recoverability; total estimates; contract risks.</t>
  </si>
  <si>
    <t>Inability to measure progress does not automatically mean point-in-time recognition if the PO qualifies for over-time recognition. This is a measurement issue within Step 5.</t>
  </si>
  <si>
    <t>Early stages of highly uncertain long-term service/construction contracts.</t>
  </si>
  <si>
    <t>Whether progress can be reasonably measured and whether cost recovery appears probable.</t>
  </si>
  <si>
    <t>Measurement conclusion and any zero-margin/cost-recovery treatment.</t>
  </si>
  <si>
    <t>Unsupported in simple ratable V1 unless specifically enabled; flag for accountant/manual treatment rather than forcing a ratable schedule.</t>
  </si>
  <si>
    <t>step5, reasonable measure, cost recovery, zero margin, progress uncertainty</t>
  </si>
  <si>
    <t>Output Methods and Right-to-Invoice Practical Expedient</t>
  </si>
  <si>
    <t>ASC 606-10-55-17 through 55-18</t>
  </si>
  <si>
    <t>Output methods recognize revenue based on direct measures of value transferred. When the amount invoiced corresponds directly with the value to the customer of performance completed to date, an entity may recognize revenue in the amount it has a right to invoice.</t>
  </si>
  <si>
    <t>1. Determine whether an output method depicts transfer.
2. For right-to-invoice, compare invoiced amount with value delivered for each increment.
3. Confirm the right to invoice is enforceable and corresponds directly to value transferred.</t>
  </si>
  <si>
    <t>Contract rates; invoice rights; service units; customer value; pricing changes; minimums; fixed fees; performance completed.</t>
  </si>
  <si>
    <t>The practical expedient is not simply “invoice equals revenue.” Advance billings, minimum commitments, tiered rates, or billing unrelated to value delivered can prevent its use.</t>
  </si>
  <si>
    <t>Time-and-materials services, per-unit services, certain usage/transaction services.</t>
  </si>
  <si>
    <t>Whether right-to-invoice criteria appear met and which contractual rates support the conclusion.</t>
  </si>
  <si>
    <t>Use of the practical expedient and eligible amount.</t>
  </si>
  <si>
    <t>Only use invoice/usage as revenue when accountant approves the relevant recognition/allocation analysis; billing/right events remain separately tracked for AR.</t>
  </si>
  <si>
    <t>step5, output method, right to invoice, invoice practical expedient, value to customer</t>
  </si>
  <si>
    <t>Input Methods and Inefficiencies</t>
  </si>
  <si>
    <t>ASC 606-10-55-20 through 55-21</t>
  </si>
  <si>
    <t>ASC 606-10-25-33 through 25-34</t>
  </si>
  <si>
    <t>Input methods recognize revenue based on efforts or resources consumed relative to total expected inputs, adjusted when particular costs do not depict performance, such as significant inefficiencies or certain uninstalled materials.</t>
  </si>
  <si>
    <t>1. Select relevant input base (cost, labor hours, machine hours, etc.).
2. Exclude wasted/inefficient inputs that do not depict transfer.
3. Evaluate significant uninstalled materials and whether revenue should reflect only cost for those materials.
4. Update total expected inputs.</t>
  </si>
  <si>
    <t>Actual/forecast costs; labor; materials; waste/rework; procurement timing; material control transfer; margin data.</t>
  </si>
  <si>
    <t>Cost incurred is not automatically equal to performance. Significant procurement costs or inefficiencies can distort cost-to-cost progress.</t>
  </si>
  <si>
    <t>Custom implementation, construction, integration, and long-duration projects.</t>
  </si>
  <si>
    <t>Potentially distorted inputs and suggested adjustments.</t>
  </si>
  <si>
    <t>Input method and exclusions/adjustments.</t>
  </si>
  <si>
    <t>Outside current simple daily-ratable engine unless a supported input-method module is enabled; document without approximating.</t>
  </si>
  <si>
    <t>step5, input method, cost to cost, inefficiency, uninstalled materials</t>
  </si>
  <si>
    <t>Stand-Ready Service — Pattern of Recognition</t>
  </si>
  <si>
    <t>ASC 606-10-25-31 through 25-32; ASC 606-10-55-5 through 55-6</t>
  </si>
  <si>
    <t>For a stand-ready service satisfied over time, revenue is recognized using a measure of progress that depicts the pattern in which the customer receives the benefit; time elapsed is often appropriate when the service is provided evenly throughout the period.</t>
  </si>
  <si>
    <t>1. Confirm stand-ready nature and over-time criterion.
2. Assess whether service effort/benefit is even across the period.
3. If even, time elapsed may faithfully depict progress.
4. If uneven, select another supported measure.</t>
  </si>
  <si>
    <t>Service period; service-level obligations; expected seasonal/uneven activity; customer benefit; performance pattern.</t>
  </si>
  <si>
    <t>Ratable recognition is an accounting conclusion, not a consequence of annual billing. Some stand-ready obligations have uneven performance patterns that make straight-line/time-elapsed inappropriate.</t>
  </si>
  <si>
    <t>Annual SaaS platform access, hosted support, maintenance and other continuous availability services.</t>
  </si>
  <si>
    <t>Whether time elapsed/daily ratable appears appropriate and evidence of even transfer.</t>
  </si>
  <si>
    <t>Progress method and service dates.</t>
  </si>
  <si>
    <t>For approved daily-ratable POs, Revenue Compass uses inclusive calendar-day cumulative rounding to exact cents across the service period.</t>
  </si>
  <si>
    <t>FASB ASC; Deloitte Revenue Recognition Roadmap §§5.4 and 8.5</t>
  </si>
  <si>
    <t>https://asc.fasb.org/
https://dart.deloitte.com/USDART/home/codification/revenue/asc606-10/roadmap-revenue-recognition/chapter-5-step-2-identify-performance/5-4-defining-nature-promise
https://dart.deloitte.com/USDART/home/codification/revenue/asc606-10/roadmap-revenue-recognition/chapter-8-step-5-determine-when/8-5-measuring-progress-for-revenue</t>
  </si>
  <si>
    <t>step5, stand-ready, SaaS, time elapsed, daily ratable, service period</t>
  </si>
  <si>
    <t>Special Topics / Industry Applications</t>
  </si>
  <si>
    <t>Customer Options — Material Right Identification</t>
  </si>
  <si>
    <t>ASC 606-10-55-41 through 55-42</t>
  </si>
  <si>
    <t>ASC 606-10-25-18; ASC 606-10-55-43 through 55-45</t>
  </si>
  <si>
    <t>A customer option for additional goods or services is a separate performance obligation only when it provides a material right the customer would not receive without entering the original contract.</t>
  </si>
  <si>
    <t>1. Identify the option and future purchase terms.
2. Compare the option discount/benefit with discounts available to similar customers without the contract.
3. Determine whether the incremental benefit is material.
4. If material, treat the option as a performance obligation.</t>
  </si>
  <si>
    <t>Option price; normal standalone price; normal discount range; customer eligibility; renewal terms; probability/likelihood evidence when needed for SSP.</t>
  </si>
  <si>
    <t>A normal market-priced renewal option is generally a marketing offer, not a material right. Material-right identification is distinct from estimating its SSP. The option itself is not the future good/service.</t>
  </si>
  <si>
    <t>Discounted renewals, loyalty awards, future-purchase discounts, free/discounted additional units.</t>
  </si>
  <si>
    <t>Whether an option exists, whether the discount appears incremental, and a draft material-right conclusion.</t>
  </si>
  <si>
    <t>Material-right judgment and related facts.</t>
  </si>
  <si>
    <t>Qualifying option links to one material-right PO; non-material options remain documented but do not receive SSP/allocation.</t>
  </si>
  <si>
    <t>FASB ASC; Deloitte Revenue Recognition Roadmap Ch. 11</t>
  </si>
  <si>
    <t>https://asc.fasb.org/
https://dart.deloitte.com/USDART/home/codification/revenue/asc606-10/roadmap-revenue-recognition/chapter-11-customer-options-for-additional</t>
  </si>
  <si>
    <t>material right, customer option, renewal discount, future goods, special topic</t>
  </si>
  <si>
    <t>Material Right — Stand-Alone Selling Price</t>
  </si>
  <si>
    <t>ASC 606-10-55-44</t>
  </si>
  <si>
    <t>ASC 606-10-32-31 through 32-35; ASC 606-10-55-41 through 55-43</t>
  </si>
  <si>
    <t>The SSP of a material right reflects the incremental discount/benefit the customer would obtain upon exercise, adjusted for the likelihood the option will be exercised and other relevant facts.</t>
  </si>
  <si>
    <t>1. Measure the incremental economic benefit versus normal pricing.
2. Estimate exercise likelihood when appropriate.
3. Estimate SSP of the option/material right.
4. Include the material-right PO in relative SSP allocation.</t>
  </si>
  <si>
    <t>Normal price/discounts; option price; incremental discount; exercise history/probability; option term.</t>
  </si>
  <si>
    <t>Exercise probability is used to estimate the option SSP, not to remeasure the original contract allocation continuously unless the applicable accounting requires it. Revenue Compass Phase 5A freezes inception SSP/allocation for its current supported scope.</t>
  </si>
  <si>
    <t>When an option has been approved as a material right.</t>
  </si>
  <si>
    <t>Economic benefit, exercise probability, proposed SSP, and rationale.</t>
  </si>
  <si>
    <t>SSP inputs/probability and final material-right SSP.</t>
  </si>
  <si>
    <t>Deterministically derive estimated material-right SSP from approved exact inputs when using the supported benefit × probability approach, then allocate original transaction price by relative SSP.</t>
  </si>
  <si>
    <t>material right, SSP, option value, exercise probability, Phase 5A</t>
  </si>
  <si>
    <t>Material Right — Renewal Alternative</t>
  </si>
  <si>
    <t>ASC 606-10-55-45</t>
  </si>
  <si>
    <t>ASC 606-10-55-41 through 55-44</t>
  </si>
  <si>
    <t>As a practical alternative for certain renewal options, an entity may allocate consideration to optional renewal periods by reference to the goods/services expected to be provided and expected consideration for those periods when that method reflects the material right.</t>
  </si>
  <si>
    <t>1. Confirm the option is a material right involving renewal of similar goods/services.
2. Determine whether the renewal alternative is appropriate.
3. Estimate expected renewal goods/services and consideration.
4. Apply consistently.</t>
  </si>
  <si>
    <t>Renewal periods; renewal pricing; expected renewals; goods/services in renewal; option exercise behavior.</t>
  </si>
  <si>
    <t>This alternative is fact-specific and not the same as simply extending the initial service period because renewal is likely.</t>
  </si>
  <si>
    <t>Recurring service renewals where an option provides a material right.</t>
  </si>
  <si>
    <t>Whether the renewal alternative appears applicable and the expected renewal assumptions.</t>
  </si>
  <si>
    <t>Use of the alternative and assumptions.</t>
  </si>
  <si>
    <t>Current Revenue Compass Phase 5A uses explicit material-right SSP/linked exercise lifecycle rather than automatically applying the renewal alternative unless separately enabled.</t>
  </si>
  <si>
    <t>material right, renewal alternative, expected renewal, special topic</t>
  </si>
  <si>
    <t>Material Right — Exercise or Expiration</t>
  </si>
  <si>
    <t>ASC 606-10-55-42 through 55-45</t>
  </si>
  <si>
    <t>ASC 606-10-25-23; ASC 606-10-32-42 through 32-43</t>
  </si>
  <si>
    <t>Consideration allocated to a material right is recognized when the future goods/services are transferred upon exercise or when the option expires, rather than being recognized merely because the option was granted.</t>
  </si>
  <si>
    <t>1. Track option status: outstanding, exercised, or expired.
2. If exercised, combine carried allocation with consideration for the resulting future good/service as appropriate.
3. Recognize as future performance occurs.
4. If expired, recognize the allocated amount when the right lapses.</t>
  </si>
  <si>
    <t>Original allocation; option status/date; exercise consideration; resulting service period; expiration date.</t>
  </si>
  <si>
    <t>Outstanding material-right allocation is not automatically synonymous with a contract liability; balance-sheet classification depends on cumulative revenue versus unconditional rights. Exercise itself need not create revenue on the exercise date.</t>
  </si>
  <si>
    <t>Material-right lifecycle after initial allocation.</t>
  </si>
  <si>
    <t>Option status, exercise/expiration date, linked future service facts, and proposed recognition pattern.</t>
  </si>
  <si>
    <t>Lifecycle status and resulting service/expiration facts.</t>
  </si>
  <si>
    <t>Preserve original allocation; create linked exercise or expiration revenue source; no retrospective reallocation; downstream balances depend on rights/billing events.</t>
  </si>
  <si>
    <t>material right, exercise, expiration, lifecycle, Phase 5A</t>
  </si>
  <si>
    <t>Nonrefundable Upfront Fees</t>
  </si>
  <si>
    <t>ASC 606-10-55-50 through 55-53</t>
  </si>
  <si>
    <t>ASC 606-10-25-17; ASC 606-10-25-19 through 25-22; ASC 606-10-55-41 through 55-45</t>
  </si>
  <si>
    <t>A nonrefundable upfront fee is not automatically revenue when billed or received. The entity evaluates whether the related upfront activity transfers a distinct promised good/service; if not, the fee is generally an advance payment for future goods/services.</t>
  </si>
  <si>
    <t>1. Identify fee and related activity.
2. Determine whether the activity transfers a promised service.
3. If no distinct transfer, include fee in transaction price for the related future PO(s).
4. Determine recognition period based on the goods/services and any material-right renewal implications.</t>
  </si>
  <si>
    <t>Fee amount; activation/onboarding tasks; distinctness; renewal terms; whether customer pays fee again on renewal; service period.</t>
  </si>
  <si>
    <t>Do not extend recognition beyond the enforceable initial term merely because renewal is expected. Extension requires an accounting basis such as a material right/renewal option or other relevant guidance.</t>
  </si>
  <si>
    <t>Activation, onboarding, initiation, membership, setup, provisioning fees.</t>
  </si>
  <si>
    <t>Whether the fee relates to a transferred service, relevant renewal/material-right facts, and proposed allocation.</t>
  </si>
  <si>
    <t>Promise/distinctness and recognition treatment.</t>
  </si>
  <si>
    <t>Include non-distinct upfront fee in approved transaction-price allocation; revenue timing follows the related PO rather than cash/billing.</t>
  </si>
  <si>
    <t>FASB ASC; Deloitte Revenue Recognition Roadmap §5.6</t>
  </si>
  <si>
    <t>https://asc.fasb.org/
https://dart.deloitte.com/USDART/home/codification/revenue/asc606-10/roadmap-revenue-recognition/chapter-5-step-2-identify-performance/5-6-nonrefundable-up-front-fees</t>
  </si>
  <si>
    <t>upfront fee, activation fee, setup fee, onboarding, deferred revenue, material right</t>
  </si>
  <si>
    <t>Rights of Return</t>
  </si>
  <si>
    <t>ASC 606-10-32-10; ASC 606-10-25-23</t>
  </si>
  <si>
    <t>For sales with a right of return, revenue reflects consideration expected for products not expected to be returned; the entity also recognizes a refund liability and, for products, an asset for the right to recover goods expected to be returned.</t>
  </si>
  <si>
    <t>1. Estimate expected returns.
2. Recognize revenue net of expected refunds.
3. Recognize refund liability.
4. Recognize recovery asset for returned products, adjusted for expected recovery costs/value decline.
5. Update estimates each reporting period.</t>
  </si>
  <si>
    <t>Return period; return history; product margin/cost; expected recoverability; refund mechanics; condition of returns.</t>
  </si>
  <si>
    <t>An exchange of one product for another of the same type/quality/price may not be treated as a return under the same framework. Service refund rights may not create a physical recovery asset.</t>
  </si>
  <si>
    <t>Product sales, satisfaction guarantees, returnable hardware bundled with services.</t>
  </si>
  <si>
    <t>Expected-return/refund facts and whether the return model applies.</t>
  </si>
  <si>
    <t>Return estimate and recovery-asset assumptions.</t>
  </si>
  <si>
    <t>Special module outside core SaaS schedule; transaction price reflects approved expected refunds, with separate refund liability/recovery asset outputs if enabled.</t>
  </si>
  <si>
    <t>FASB ASC; Deloitte Revenue Recognition Roadmap implementation guidance</t>
  </si>
  <si>
    <t>https://asc.fasb.org/
https://dart.deloitte.com/USDART/home/codification/revenue/asc606-10/roadmap-revenue-recognition</t>
  </si>
  <si>
    <t>returns, refund liability, recovery asset, product sales</t>
  </si>
  <si>
    <t>Warranties — Assurance Versus Service</t>
  </si>
  <si>
    <t>ASC 606-10-55-30 through 55-35</t>
  </si>
  <si>
    <t>ASC 460</t>
  </si>
  <si>
    <t>A warranty that only assures compliance with agreed specifications is generally accounted for under warranty/contingency guidance, while a warranty that provides an additional service is a performance obligation under ASC 606; separately purchasable warranties are distinct services.</t>
  </si>
  <si>
    <t>1. Can customer purchase warranty separately? If yes, treat as service PO.
2. If not, evaluate legal requirements, coverage length, and nature of tasks.
3. Separate service element from assurance element when reasonably possible.</t>
  </si>
  <si>
    <t>Warranty terms; separate price; legal requirements; coverage duration; services performed; repair/replacement scope.</t>
  </si>
  <si>
    <t>A long warranty is not automatically a service warranty, and a legally required warranty may still contain additional service. Assurance warranty costs do not receive transaction-price allocation.</t>
  </si>
  <si>
    <t>Hardware/software appliances, implementation deliverables, products sold with support warranties.</t>
  </si>
  <si>
    <t>Assurance vs service indicators and proposed PO treatment.</t>
  </si>
  <si>
    <t>Warranty classification and any service component.</t>
  </si>
  <si>
    <t>Create a PO only for approved service warranty; assurance warranty remains outside ASC 606 allocation calculations.</t>
  </si>
  <si>
    <t>warranty, assurance warranty, service warranty, performance obligation</t>
  </si>
  <si>
    <t>Principal Versus Agent — Identify Specified Good or Service</t>
  </si>
  <si>
    <t>ASC 606-10-55-36 through 55-36A</t>
  </si>
  <si>
    <t>ASC 606-10-55-37 through 55-40</t>
  </si>
  <si>
    <t>Before assessing principal versus agent, identify each specified good/service to be provided to the customer and determine whether the entity controls that specified good/service before transfer.</t>
  </si>
  <si>
    <t>1. Identify customer-promised goods/services.
2. Identify which party will provide them.
3. Define each specified good/service or bundle.
4. Assess control before transfer for each specified item.</t>
  </si>
  <si>
    <t>Customer contract; supplier/vendor arrangement; fulfillment responsibilities; bundle/integration; title/rights; pricing/credit terms.</t>
  </si>
  <si>
    <t>Principal-agent analysis can differ by specified good/service in one contract. Physical possession or invoicing alone does not establish principal status.</t>
  </si>
  <si>
    <t>Marketplace, reseller, cloud marketplace, third-party services, pass-through products.</t>
  </si>
  <si>
    <t>Specified good/service and parties involved, with candidate control conclusion.</t>
  </si>
  <si>
    <t>Specified item and principal/agent judgment.</t>
  </si>
  <si>
    <t>Use approved gross/net presentation decision; do not infer from invoice gross amounts.</t>
  </si>
  <si>
    <t>FASB ASC; Deloitte Revenue Recognition Roadmap Ch. 10</t>
  </si>
  <si>
    <t>https://asc.fasb.org/
https://dart.deloitte.com/USDART/home/codification/revenue/asc606-10/roadmap-revenue-recognition/chapter-10-principal-versus-agent-considerations</t>
  </si>
  <si>
    <t>principal agent, specified good, gross net, reseller, marketplace</t>
  </si>
  <si>
    <t>Principal Versus Agent — Control Before Transfer</t>
  </si>
  <si>
    <t>ASC 606-10-55-37</t>
  </si>
  <si>
    <t>ASC 606-10-55-38 through 55-40</t>
  </si>
  <si>
    <t>An entity is a principal when it controls the specified good/service before transfer; if it merely arranges for another party to provide the specified item, it is an agent and recognizes the net fee/commission to which it expects to be entitled.</t>
  </si>
  <si>
    <t>Evaluate control and supporting indicators such as: primary responsibility for fulfillment/acceptability, inventory risk before/after transfer, and discretion in establishing price. Consider indicators as support for the control principle, not a checklist.</t>
  </si>
  <si>
    <t>Fulfillment responsibility; supplier commitments; inventory/obsolescence risk; pricing authority; customer relationship; credit risk; integration services.</t>
  </si>
  <si>
    <t>Indicators do not have equal weight in every fact pattern. Credit risk by itself is not a control indicator. An entity can control a right to a service or combine inputs into a specified output without taking physical inventory.</t>
  </si>
  <si>
    <t>Gross-versus-net revenue questions in technology distribution, marketplaces, payment flows, and cloud reselling.</t>
  </si>
  <si>
    <t>Control analysis and indicator evidence.</t>
  </si>
  <si>
    <t>Principal/agent conclusion for each specified good/service.</t>
  </si>
  <si>
    <t>Present revenue gross if principal or net if agent based on approved conclusion; preserve underlying billings separately where needed.</t>
  </si>
  <si>
    <t>principal agent, control before transfer, inventory risk, pricing discretion, fulfillment</t>
  </si>
  <si>
    <t>Consignment Arrangements</t>
  </si>
  <si>
    <t>ASC 606-10-55-79 through 55-80</t>
  </si>
  <si>
    <t>Delivery of a product to a dealer/distributor on consignment does not transfer control if the entity retains control until a specified event such as sale to an end customer.</t>
  </si>
  <si>
    <t>Indicators include: entity controls product until a specified event; entity can require return/transfer to another party; dealer lacks unconditional obligation to pay.</t>
  </si>
  <si>
    <t>Consignment terms; payment obligation; return/redirection rights; end-customer sale event; inventory risk.</t>
  </si>
  <si>
    <t>Physical possession by a distributor is not sufficient for revenue. Determine whether the arrangement is truly a sale or consignment.</t>
  </si>
  <si>
    <t>Distributor/dealer inventory, demo equipment, channel stock.</t>
  </si>
  <si>
    <t>Consignment indicators and likely control-transfer trigger.</t>
  </si>
  <si>
    <t>Consignment conclusion and recognition event.</t>
  </si>
  <si>
    <t>If consignment, block revenue at shipment and recognize only on approved control-transfer event.</t>
  </si>
  <si>
    <t>consignment, distributor, control, inventory, point in time</t>
  </si>
  <si>
    <t>Bill-and-Hold Arrangements</t>
  </si>
  <si>
    <t>ASC 606-10-55-81 through 55-84</t>
  </si>
  <si>
    <t>Revenue before physical delivery in a bill-and-hold arrangement is appropriate only when the customer has obtained control and specific criteria demonstrate the customer, rather than the entity, controls the product while it remains at the entity’s location.</t>
  </si>
  <si>
    <t>Assess whether: 1. Customer has substantive reason for arrangement.
2. Product is separately identified as customer’s.
3. Product is ready for physical transfer.
4. Entity cannot use/direct the product to another customer.
Also assess custodial service after control transfer.</t>
  </si>
  <si>
    <t>Customer request/reason; segregation; readiness; redirection rights; title/payment; storage/custodial obligations.</t>
  </si>
  <si>
    <t>All bill-and-hold criteria are important. A separate custodial service after control transfers may be a performance obligation.</t>
  </si>
  <si>
    <t>Products completed but stored for customer convenience.</t>
  </si>
  <si>
    <t>Bill-and-hold criteria, control indicators, and custodial-service implications.</t>
  </si>
  <si>
    <t>Recognition date and any custodial PO.</t>
  </si>
  <si>
    <t>Do not recognize on completion alone; require approved bill-and-hold control conclusion.</t>
  </si>
  <si>
    <t>bill and hold, control, storage, customer request, point in time</t>
  </si>
  <si>
    <t>Customer Acceptance</t>
  </si>
  <si>
    <t>ASC 606-10-55-85 through 55-88</t>
  </si>
  <si>
    <t>Customer acceptance provisions affect revenue timing when acceptance is substantive and control has not transferred before acceptance; acceptance may be a formality when objective specifications have already been met and control has otherwise transferred.</t>
  </si>
  <si>
    <t>1. Identify acceptance clause.
2. Determine whether compliance can be objectively demonstrated before formal acceptance.
3. Determine whether customer has substantive discretion to reject.
4. Identify actual acceptance/control date.</t>
  </si>
  <si>
    <t>Acceptance criteria; testing results; history; customer discretion; delivery/completion; payment/title terms.</t>
  </si>
  <si>
    <t>Formal sign-off is not always the recognition date, but it cannot be ignored when the customer has substantive acceptance rights that affect control.</t>
  </si>
  <si>
    <t>Software implementation, equipment installation, custom deliverables, proof-of-concept conversions.</t>
  </si>
  <si>
    <t>Whether acceptance appears substantive/formal and the evidence supporting transfer.</t>
  </si>
  <si>
    <t>Control/acceptance conclusion and recognition date.</t>
  </si>
  <si>
    <t>Use approved recognition date; retain acceptance evidence as source provenance.</t>
  </si>
  <si>
    <t>customer acceptance, sign-off, control, testing, point in time</t>
  </si>
  <si>
    <t>Repurchase Agreements</t>
  </si>
  <si>
    <t>Forwards, call options, and put options involving repurchase can prevent sale accounting or require lease/financing treatment depending on the repurchase price, expected market value, and customer incentive.</t>
  </si>
  <si>
    <t>1. Identify repurchase form.
2. Determine who controls exercise.
3. Compare repurchase price to original selling price and expected market value.
4. Consider time value and customer economic incentive.
5. Apply required lease/financing/return branch.</t>
  </si>
  <si>
    <t>Original price; repurchase price; dates; market value; option holder; economic incentive; asset type.</t>
  </si>
  <si>
    <t>This area can move the transaction outside ordinary ASC 606 revenue recognition mechanics. Do not force a product sale schedule when a financing or lease conclusion applies.</t>
  </si>
  <si>
    <t>Buyback clauses, guaranteed residual values, equipment repurchase programs.</t>
  </si>
  <si>
    <t>Repurchase type and likely accounting branch.</t>
  </si>
  <si>
    <t>Final branch and valuation assumptions.</t>
  </si>
  <si>
    <t>Flag/stop ordinary revenue engine when approved treatment is outside supported ASC 606 sale accounting.</t>
  </si>
  <si>
    <t>repurchase agreement, forward, call, put, financing, lease</t>
  </si>
  <si>
    <t>Customer Prepayments and Breakage</t>
  </si>
  <si>
    <t>ASC 606-10-55-46 through 55-49</t>
  </si>
  <si>
    <t>ASC 606-10-25-23; ASC 606-10-32-11</t>
  </si>
  <si>
    <t>Customer prepayments create a contract liability for future goods/services. Expected breakage may be recognized in proportion to rights exercised when the entity expects to be entitled to breakage; otherwise breakage is recognized when remaining exercise becomes remote.</t>
  </si>
  <si>
    <t>1. Identify prepaid customer right.
2. Estimate expected breakage only when supportable and constrained.
3. If entitled to breakage, recognize proportionately as customer exercises rights.
4. Otherwise wait until exercise is remote.
5. Consider unclaimed-property laws.</t>
  </si>
  <si>
    <t>Prepaid amount; redemption history; expiration; refundability; legal escheat obligations; breakage estimate.</t>
  </si>
  <si>
    <t>Breakage revenue can be affected by unclaimed-property laws. A prepaid amount is not revenue merely because cash has been received.</t>
  </si>
  <si>
    <t>Gift cards, prepaid credits, usage packages, stored-value customer balances.</t>
  </si>
  <si>
    <t>Whether breakage is expected, relevant redemption evidence, and legal considerations.</t>
  </si>
  <si>
    <t>Breakage estimate/treatment and legal assumptions.</t>
  </si>
  <si>
    <t>If enabled, maintain contract liability and recognize approved breakage according to redemption pattern; otherwise block/flag for manual treatment.</t>
  </si>
  <si>
    <t>breakage, prepayment, gift card, prepaid credits, contract liability</t>
  </si>
  <si>
    <t>Licensing — Scope and Hosted Software</t>
  </si>
  <si>
    <t>ASC 606-10-55-54 through 55-64</t>
  </si>
  <si>
    <t>ASC 606-10-25-18; ASC 606-10-55-65</t>
  </si>
  <si>
    <t>The licensing guidance applies when a contract provides a customer a license to intellectual property. A hosted software arrangement in which the customer does not obtain a software license is generally a service arrangement rather than an IP license.</t>
  </si>
  <si>
    <t>1. Identify whether customer receives rights to IP.
2. For software, assess whether a license is conveyed rather than merely hosted access.
3. Separate license and service promises when distinct.
4. Apply licensing timing guidance only to actual licenses.</t>
  </si>
  <si>
    <t>License grant; hosting terms; possession/download rights; on-premise rights; term; updates; support; IP type.</t>
  </si>
  <si>
    <t>Do not apply the sales/usage royalty exception to ordinary hosted SaaS merely because fees are usage-based. Hosted access and a software license can coexist in some arrangements and require separate analysis.</t>
  </si>
  <si>
    <t>Software, media, data, trademarks, patents, hosted technology arrangements.</t>
  </si>
  <si>
    <t>Whether an IP license exists and which promises are license vs service.</t>
  </si>
  <si>
    <t>License identification and distinctness.</t>
  </si>
  <si>
    <t>Route actual licenses to licensing recognition logic; route hosted service to normal service/series logic.</t>
  </si>
  <si>
    <t>FASB ASC; Deloitte Revenue Recognition Roadmap Ch. 12; technology guidance</t>
  </si>
  <si>
    <t>https://asc.fasb.org/
https://dart.deloitte.com/USDART/home/codification/revenue/asc606-10/roadmap-revenue-recognition/chapter-12-licensing
https://dart.deloitte.com/USDART/home/publications/deloitte/industry/technology/technology-accounting-guide</t>
  </si>
  <si>
    <t>license, hosted software, SaaS, intellectual property, software access</t>
  </si>
  <si>
    <t>Licenses Bundled With Other Goods or Services</t>
  </si>
  <si>
    <t>ASC 606-10-55-56 through 55-60</t>
  </si>
  <si>
    <t>ASC 606-10-25-19 through 25-22</t>
  </si>
  <si>
    <t>A promised license is assessed for distinctness from other promised goods/services. If not distinct, it is combined with those items and the combined performance obligation follows the general recognition guidance rather than standalone license timing.</t>
  </si>
  <si>
    <t>1. Identify license and other promises.
2. Apply capable-of-being-distinct and distinct-in-context tests.
3. Determine whether goods/services significantly modify/integrate with IP.
4. If non-distinct, define combined PO.</t>
  </si>
  <si>
    <t>License functionality; updates; implementation/customization; dependencies; customer benefit; combined output.</t>
  </si>
  <si>
    <t>The licensing model is applied after determining whether the license is distinct. A license can be capable of being distinct but not separately identifiable in the contract.</t>
  </si>
  <si>
    <t>Software license + implementation/support, media/IP + production services.</t>
  </si>
  <si>
    <t>License distinctness and potential combined PO.</t>
  </si>
  <si>
    <t>Final grouping and recognition basis.</t>
  </si>
  <si>
    <t>Only distinct license PO enters standalone licensing timing branch; combined PO uses approved general Step 5 method.</t>
  </si>
  <si>
    <t>FASB ASC; Deloitte Revenue Recognition Roadmap Ch. 12</t>
  </si>
  <si>
    <t>https://asc.fasb.org/
https://dart.deloitte.com/USDART/home/codification/revenue/asc606-10/roadmap-revenue-recognition/chapter-12-licensing</t>
  </si>
  <si>
    <t>license, bundle, distinct, implementation, combined performance obligation</t>
  </si>
  <si>
    <t>License — Right to Access Versus Right to Use</t>
  </si>
  <si>
    <t>ASC 606-10-55-58 through 55-64</t>
  </si>
  <si>
    <t>ASC 606-10-25-23 through 25-30</t>
  </si>
  <si>
    <t>A distinct license is recognized over time when it provides a right to access IP that the entity will continue to support or change in ways that significantly affect the IP and required criteria are met; otherwise a right-to-use license is generally recognized at a point in time when the license is available for use.</t>
  </si>
  <si>
    <t>1. Determine nature of IP and ongoing activities.
2. Assess whether entity activities significantly affect IP and expose customer to effects of those activities without transferring another promised good/service.
3. Classify access vs use.
4. Determine availability date for right-to-use licenses.</t>
  </si>
  <si>
    <t>IP type; ongoing activities/updates; customer expectations; contractual rights; availability/download date; support promises.</t>
  </si>
  <si>
    <t>Functional software licenses often differ from symbolic IP fact patterns. Ongoing support/updates may be separate POs rather than evidence that a license itself is a right to access.</t>
  </si>
  <si>
    <t>Distinct licenses of software, brands, media, patents, technology.</t>
  </si>
  <si>
    <t>Proposed access/use classification and evidence.</t>
  </si>
  <si>
    <t>License nature and recognition timing.</t>
  </si>
  <si>
    <t>If supported, schedule right-to-access over time or right-to-use at approved availability/control date.</t>
  </si>
  <si>
    <t>license, right to access, right to use, functional IP, symbolic IP</t>
  </si>
  <si>
    <t>Sales- or Usage-Based Royalty Exception for IP</t>
  </si>
  <si>
    <t>ASC 606-10-55-65</t>
  </si>
  <si>
    <t>For a sales- or usage-based royalty promised in exchange for a license of IP, or when the IP license is the predominant item to which the royalty relates, revenue is recognized at the later of the subsequent sale/usage or satisfaction of the related performance obligation.</t>
  </si>
  <si>
    <t>1. Confirm royalty is sales/usage based.
2. Confirm it relates to a license of IP or an arrangement in which the license is predominant.
3. Apply the later-of recognition rule.
4. Do not apply the ordinary variable-consideration estimate/constraint to bypass the exception.</t>
  </si>
  <si>
    <t>Royalty formula; licensed IP; other goods/services; predominance; sale/usage data; PO satisfaction.</t>
  </si>
  <si>
    <t>This is a specific exception and should not be generalized to hosted SaaS consumption. A royalty tied to a non-IP service remains subject to ordinary variable consideration/allocation guidance.</t>
  </si>
  <si>
    <t>Media/software licenses, franchises, brands, patents with sales/usage royalties.</t>
  </si>
  <si>
    <t>Whether the IP royalty exception appears applicable and why.</t>
  </si>
  <si>
    <t>Applicability and recognition trigger.</t>
  </si>
  <si>
    <t>Use actual eligible sales/usage as a recognition trigger only for approved IP royalty arrangements; keep separate from Phase 5B SaaS usage path.</t>
  </si>
  <si>
    <t>royalty exception, usage royalty, sales royalty, IP, license</t>
  </si>
  <si>
    <t>Contract Modification — Definition and Approval</t>
  </si>
  <si>
    <t>ASC 606-10-25-10 through 25-11</t>
  </si>
  <si>
    <t>ASC 606-10-25-12 through 25-13</t>
  </si>
  <si>
    <t>A contract modification is an approved change in scope, price, or both that creates or changes enforceable rights and obligations; approval can be written, oral, or implied by customary business practices.</t>
  </si>
  <si>
    <t>1. Identify change in scope/price.
2. Determine whether parties approved the change and it is enforceable.
3. If price is not yet fixed, apply variable-consideration guidance as appropriate.
4. Determine modification date.</t>
  </si>
  <si>
    <t>Amendment/SOW; approval date; added/removed goods/services; price changes; customary approval; enforceability; unresolved pricing.</t>
  </si>
  <si>
    <t>A change request under negotiation may not yet be an approved modification. A modification can exist before its final price is fixed if enforceable scope has changed.</t>
  </si>
  <si>
    <t>Mid-contract seat changes, added modules, change orders, price amendments, scope reductions.</t>
  </si>
  <si>
    <t>Whether an approved modification exists, effective date, changed scope/price, and missing evidence.</t>
  </si>
  <si>
    <t>Modification existence/date and changed promises/consideration.</t>
  </si>
  <si>
    <t>Phase 5C will create explicit modification events rather than overwriting the original contract.</t>
  </si>
  <si>
    <t>FASB ASC; Deloitte Revenue Recognition Roadmap Ch. 9</t>
  </si>
  <si>
    <t>https://asc.fasb.org/
https://dart.deloitte.com/USDART/home/codification/revenue/asc606-10/roadmap-revenue-recognition/chapter-9-contract-modifications/9-2-types-contract-modifications</t>
  </si>
  <si>
    <t>contract modification, amendment, scope change, price change, approval, Phase 5C</t>
  </si>
  <si>
    <t>Contract Modification — Separate Contract</t>
  </si>
  <si>
    <t>ASC 606-10-25-12</t>
  </si>
  <si>
    <t>ASC 606-10-25-18 through 25-22</t>
  </si>
  <si>
    <t>An approved modification is accounted for as a separate contract when the scope increases because distinct goods/services are added and the price increase reflects their standalone selling prices, adjusted as appropriate for the circumstances.</t>
  </si>
  <si>
    <t>Both must be met: 1. Added goods/services are distinct.
2. Added price reflects SSP of those goods/services, including appropriate circumstance-specific adjustments such as selling-cost savings.</t>
  </si>
  <si>
    <t>Added promises; distinctness; modification price; SSPs; discount rationale; selling-cost differences.</t>
  </si>
  <si>
    <t>“Priced at SSP” does not require the exact list price. Appropriate adjustments can still be consistent with SSP. If either criterion fails, apply 25-13.</t>
  </si>
  <si>
    <t>Additional SaaS seats/modules/services priced near their standalone price.</t>
  </si>
  <si>
    <t>Whether separate-contract criteria appear met, supporting SSP comparison, and evidence.</t>
  </si>
  <si>
    <t>Distinctness, SSP pricing, and separate-contract conclusion.</t>
  </si>
  <si>
    <t>Phase 5C should create a new deterministic contract segment without changing original contract allocation/revenue when separate-contract treatment is approved.</t>
  </si>
  <si>
    <t>FASB ASC; Deloitte Revenue Recognition Roadmap §9.2</t>
  </si>
  <si>
    <t>contract modification, separate contract, distinct, SSP, Phase 5C</t>
  </si>
  <si>
    <t>Contract Modification — Prospective Treatment</t>
  </si>
  <si>
    <t>ASC 606-10-25-13(a)</t>
  </si>
  <si>
    <t>ASC 606-10-25-12; ASC 606-10-25-14(b)</t>
  </si>
  <si>
    <t>When a modification is not a separate contract and the remaining goods/services are distinct from those already transferred, account for it prospectively as termination of the old contract and creation of a new contract for the remaining distinct goods/services.</t>
  </si>
  <si>
    <t>1. Modification fails separate-contract treatment.
2. Remaining goods/services are distinct from goods/services already transferred.
3. Combine unrecognized consideration from original contract with consideration promised by modification.
4. Allocate to remaining distinct goods/services using applicable guidance.</t>
  </si>
  <si>
    <t>Remaining promises; prior recognized revenue; unrecognized consideration; modification consideration; SSPs at modification as required; series elements remaining.</t>
  </si>
  <si>
    <t>This treatment is not limited to “added goods priced below SSP.” It applies whenever remaining goods/services are distinct and the modification is not a separate contract.</t>
  </si>
  <si>
    <t>Seat additions, extensions, repricing, or added distinct services in partially satisfied recurring contracts.</t>
  </si>
  <si>
    <t>Whether remaining goods/services are distinct and proposed prospective consideration pool.</t>
  </si>
  <si>
    <t>Prospective treatment and inputs.</t>
  </si>
  <si>
    <t>Phase 5C should preserve historical revenue, establish a new remaining-consideration allocation segment, and schedule only remaining distinct service.</t>
  </si>
  <si>
    <t>contract modification, prospective, termination and new contract, remaining goods, Phase 5C</t>
  </si>
  <si>
    <t>Contract Modification — Cumulative Catch-Up and Mixed Treatment</t>
  </si>
  <si>
    <t>ASC 606-10-25-13(b) through (c)</t>
  </si>
  <si>
    <t>When remaining goods/services are not distinct and are part of a partially satisfied single performance obligation, the modification is reflected through a cumulative catch-up. If both distinct and non-distinct elements exist, apply a combination of prospective and catch-up treatment that faithfully reflects the economics.</t>
  </si>
  <si>
    <t>1. Determine whether remaining goods/services are distinct from prior performance.
2. For a non-distinct continuing PO, update transaction price/measure of progress and calculate cumulative catch-up.
3. For mixed facts, bifurcate the modification into appropriate prospective and catch-up components.</t>
  </si>
  <si>
    <t>PO satisfaction to date; progress; modified scope/price; distinctness; prior allocation/revenue; remaining service.</t>
  </si>
  <si>
    <t>Mixed modifications require deliberate segmentation. Do not default every modification to prospective accounting merely because new items are added.</t>
  </si>
  <si>
    <t>Custom implementations, integrated projects, modifications to partially completed non-distinct POs, mixed SaaS/service amendments.</t>
  </si>
  <si>
    <t>Which modification branch applies to each affected component and estimated catch-up direction.</t>
  </si>
  <si>
    <t>Branch selection, affected PO(s), progress, and amounts.</t>
  </si>
  <si>
    <t>Phase 5C should compute approved cumulative entitlement less revenue already recognized for catch-up branches while preserving prospective branches separately.</t>
  </si>
  <si>
    <t>contract modification, cumulative catch-up, mixed modification, non-distinct, Phase 5C</t>
  </si>
  <si>
    <t>Contract Asset, Receivable, and Contract Liability</t>
  </si>
  <si>
    <t>ASC 606-10-45-1 through 45-5</t>
  </si>
  <si>
    <t>ASC 606-10-50-8 through 50-10</t>
  </si>
  <si>
    <t>Contract assets and contract liabilities reflect the relationship between entity performance and customer consideration. An unconditional right to consideration is presented separately as a receivable; a contract asset remains conditional on something other than passage of time.</t>
  </si>
  <si>
    <t>1. Compare cumulative revenue/performance with cumulative unconditional rights.
2. If performance exceeds unconditional rights, identify a contract asset.
3. If unconditional rights/consideration exceed performance, identify a contract liability.
4. Present unconditional rights as receivables separately.</t>
  </si>
  <si>
    <t>Revenue recognized; unconditional-right dates/amounts; invoicing; cash; conditions remaining before entitlement; contract-level net position.</t>
  </si>
  <si>
    <t>A contract asset is not “unbilled AR.” A receivable can be billed or unbilled once the right is unconditional. Contract assets/liabilities are generally presented on a contract-by-contract net basis; AR is separate.</t>
  </si>
  <si>
    <t>Balance-sheet presentation after revenue and rights begin.</t>
  </si>
  <si>
    <t>Whether a right appears conditional/unconditional and relevant source terms.</t>
  </si>
  <si>
    <t>Right classification and unconditional date.</t>
  </si>
  <si>
    <t>Calculate contract-level CA/CL from cumulative revenue versus cumulative unconditional rights; track billed/unbilled AR separately; never present both CA and CL simultaneously for one contract net position.</t>
  </si>
  <si>
    <t>FASB ASC; Deloitte Revenue Recognition Roadmap Ch. 14</t>
  </si>
  <si>
    <t>https://asc.fasb.org/
https://dart.deloitte.com/USDART/home/codification/revenue/asc606-10/roadmap-revenue-recognition/chapter-14-presentation/14-1-overview</t>
  </si>
  <si>
    <t>contract asset, contract liability, receivable, unbilled AR, deferred revenue, presentation</t>
  </si>
  <si>
    <t>Unconditional Right Versus Invoice Date</t>
  </si>
  <si>
    <t>ASC 606-10-45-4</t>
  </si>
  <si>
    <t>ASC 606-10-45-1 through 45-3</t>
  </si>
  <si>
    <t>A receivable arises when the right to consideration is unconditional, meaning only passage of time is required before payment is due; the invoice date can be the same date but is not necessarily the event that creates the receivable.</t>
  </si>
  <si>
    <t>1. Identify contractual payment entitlement.
2. Determine when all performance/other conditions to the right have been satisfied.
3. Distinguish unconditional-right date from invoice issuance.
4. Classify billed vs unbilled receivable based on whether invoice has been issued.</t>
  </si>
  <si>
    <t>Payment clauses; milestones; usage measurement; completion/acceptance; invoice date; billing schedule.</t>
  </si>
  <si>
    <t>Revenue can precede an unconditional right, producing a contract asset. An unconditional right can exist before invoice issuance, producing unbilled AR. Billing is an operational event, not the definition of entitlement.</t>
  </si>
  <si>
    <t>Arrears billing, milestone billing, usage billing, bonuses, delayed invoice issuance.</t>
  </si>
  <si>
    <t>Proposed unconditional-right date, invoice date, and conditions supporting the distinction.</t>
  </si>
  <si>
    <t>Unconditional-right timing and invoice timing.</t>
  </si>
  <si>
    <t>AR arises only from approved unconditional-right events; invoice can reclassify unbilled AR to billed AR without creating new entitlement.</t>
  </si>
  <si>
    <t>receivable, unconditional right, invoice date, billed AR, unbilled AR, contract asset</t>
  </si>
  <si>
    <t>Incremental Costs of Obtaining a Contract</t>
  </si>
  <si>
    <t>ASC 340-40-25-1 through 25-4</t>
  </si>
  <si>
    <t>ASC 340-40-35-1 through 35-6</t>
  </si>
  <si>
    <t>Incremental costs of obtaining a contract that the entity expects to recover are capitalized when they would not have been incurred if the contract had not been obtained; a practical expedient permits immediate expense when the otherwise applicable amortization period is one year or less.</t>
  </si>
  <si>
    <t>1. Would the cost have been incurred without obtaining the contract?
2. Is recovery expected?
3. If capitalized, determine amortization period/pattern.
4. Consider the one-year practical expedient and policy election.</t>
  </si>
  <si>
    <t>Sales commissions; bonuses; legal/bid costs; payment triggers; expected recoverability; renewals; commission structure.</t>
  </si>
  <si>
    <t>Salaries, proposal costs, and many legal costs incurred regardless of contract success are not incremental. Renewal commissions can affect expected amortization period.</t>
  </si>
  <si>
    <t>Sales commissions and contract acquisition costs for SaaS/customer contracts.</t>
  </si>
  <si>
    <t>Whether costs appear incremental/recoverable and possible expedient eligibility.</t>
  </si>
  <si>
    <t>Capitalization vs expense and amortization assumptions.</t>
  </si>
  <si>
    <t>Outside core Phase 5B revenue engine; maintain as a linked special-topic workpaper if contract-cost functionality is later added.</t>
  </si>
  <si>
    <t>FASB ASC 340-40; Deloitte Revenue Recognition Roadmap Ch. 13</t>
  </si>
  <si>
    <t>https://asc.fasb.org/
https://dart.deloitte.com/USDART/home/codification/revenue/asc606-10/roadmap-revenue-recognition/chapter-13-contract-costs</t>
  </si>
  <si>
    <t>contract costs, commission, incremental cost, capitalization, ASC 340-40</t>
  </si>
  <si>
    <t>Costs to Fulfill a Contract</t>
  </si>
  <si>
    <t>ASC 340-40-25-5 through 25-8</t>
  </si>
  <si>
    <t>Other applicable GAAP; ASC 340-40-35</t>
  </si>
  <si>
    <t>Fulfillment costs not addressed by other GAAP are capitalized only when they relate directly to a contract or anticipated contract, generate or enhance resources used to satisfy future performance, and are expected to be recovered.</t>
  </si>
  <si>
    <t>1. Check whether another GAAP topic governs the cost.
2. Confirm direct relationship to contract.
3. Confirm resource creation/enhancement for future performance.
4. Confirm expected recoverability.
5. Expense costs that fail criteria.</t>
  </si>
  <si>
    <t>Cost nature; contract relationship; future benefit; recovery expectation; other-GAAP scope; fulfillment timing.</t>
  </si>
  <si>
    <t>Costs relating to satisfied performance, abnormal waste, general administration, or costs that cannot be distinguished from past performance may require expense rather than capitalization.</t>
  </si>
  <si>
    <t>Implementation/fulfillment expenditures, setup costs, certain labor/material costs.</t>
  </si>
  <si>
    <t>Whether capitalization criteria appear met and whether another GAAP topic governs.</t>
  </si>
  <si>
    <t>Capitalization/expense classification and recoverability.</t>
  </si>
  <si>
    <t>Document/link to contract but keep outside revenue allocation math unless a future cost module is enabled.</t>
  </si>
  <si>
    <t>contract costs, fulfillment costs, capitalization, recoverability, ASC 340-40</t>
  </si>
  <si>
    <t>Contract-Cost Asset Amortization and Impairment</t>
  </si>
  <si>
    <t>ASC 340-40-25-1 through 25-8</t>
  </si>
  <si>
    <t>Capitalized contract-cost assets are amortized on a systematic basis consistent with transfer of the related goods/services and are tested for impairment under the contract-cost guidance.</t>
  </si>
  <si>
    <t>1. Identify goods/services to which asset relates, including anticipated renewals when appropriate.
2. Select amortization pattern consistent with transfer.
3. Update amortization for significant changes.
4. Test recoverability and record impairment when carrying amount exceeds specified recoverable amount.</t>
  </si>
  <si>
    <t>Capitalized asset; related PO/revenue pattern; renewal expectations; remaining consideration; direct costs to provide services; impairment indicators.</t>
  </si>
  <si>
    <t>Amortization period can extend beyond the stated contract term when the asset relates to anticipated renewals. This is different from automatically extending revenue recognition for an upfront fee.</t>
  </si>
  <si>
    <t>Deferred commissions and fulfillment assets.</t>
  </si>
  <si>
    <t>Related revenue period/pattern and potential impairment indicators.</t>
  </si>
  <si>
    <t>Amortization period/method and impairment assumptions.</t>
  </si>
  <si>
    <t>Future cost module should reference approved PO lifecycle and schedule amortization independently from revenue journals.</t>
  </si>
  <si>
    <t>contract costs, amortization, impairment, renewal, commission asset</t>
  </si>
  <si>
    <t>SaaS — Hosted Service Versus Software License</t>
  </si>
  <si>
    <t>ASC 606-10-25-18; ASC 606-10-55-54 through 55-65</t>
  </si>
  <si>
    <t>ASC 350-40; implementation guidance as applicable</t>
  </si>
  <si>
    <t>A typical hosted SaaS arrangement is accounted for as a service when the customer receives hosted access rather than a software license. Licensing guidance applies only when the customer actually obtains license rights to IP.</t>
  </si>
  <si>
    <t>1. Identify customer rights to software.
2. Determine whether customer can take possession/use software independently or receives only hosted access.
3. Identify any separate license component.
4. Apply service/series or license guidance accordingly.</t>
  </si>
  <si>
    <t>Hosting terms; download/on-premise rights; software access; dedicated instance; license grant; termination rights; support/updates.</t>
  </si>
  <si>
    <t>Dedicated hosting or a named software product does not automatically create a license. Conversely, a contract can contain both a license and hosting/service components.</t>
  </si>
  <si>
    <t>Cloud software, hosted ERP/CRM, AI platforms, cloud infrastructure access.</t>
  </si>
  <si>
    <t>Hosted-service vs license classification with cited rights.</t>
  </si>
  <si>
    <t>Classification and any separate license PO.</t>
  </si>
  <si>
    <t>Route approved hosted service through service/series logic; do not apply IP royalty exception to ordinary SaaS usage.</t>
  </si>
  <si>
    <t>Deloitte Technology Industry Accounting Guide; FASB ASC</t>
  </si>
  <si>
    <t>https://asc.fasb.org/
https://dart.deloitte.com/USDART/home/publications/deloitte/industry/technology/technology-accounting-guide</t>
  </si>
  <si>
    <t>SaaS, hosted service, software license, cloud, technology</t>
  </si>
  <si>
    <t>SaaS — Stand-Ready Series</t>
  </si>
  <si>
    <t>ASC 606-10-25-14(b) through 25-15</t>
  </si>
  <si>
    <t>ASC 606-10-25-18(e); ASC 606-10-25-27(a); ASC 606-10-25-31 through 25-32</t>
  </si>
  <si>
    <t>Continuous SaaS access often represents a stand-ready service comprising a series of distinct daily or other service increments that are substantially the same and transfer with the same pattern, resulting in one series performance obligation.</t>
  </si>
  <si>
    <t>1. Define stand-ready promise.
2. Identify underlying distinct service increment.
3. Confirm each increment meets over-time criterion and same progress method.
4. Confirm substantially-same/same-pattern requirements.</t>
  </si>
  <si>
    <t>Service term; customer access; service levels; underlying service increment; performance pattern; progress method.</t>
  </si>
  <si>
    <t>Series classification is an accounting judgment, not a shortcut applied to every subscription. Series elements remain relevant for variable allocation and modifications.</t>
  </si>
  <si>
    <t>Recurring hosted SaaS/subscription service.</t>
  </si>
  <si>
    <t>Proposed stand-ready/series classification and underlying service period.</t>
  </si>
  <si>
    <t>Series classification and recognition method.</t>
  </si>
  <si>
    <t>Enable series-specific downstream logic only after approval; daily-ratable schedule uses exact inclusive calendar-day methodology for supported facts.</t>
  </si>
  <si>
    <t>FASB ASC; Deloitte Revenue Recognition Roadmap §§5.3–5.4; technology guidance</t>
  </si>
  <si>
    <t>https://asc.fasb.org/
https://dart.deloitte.com/USDART/home/codification/revenue/asc606-10/roadmap-revenue-recognition/chapter-5-step-2-identify-performance/5-3-identifying-performance-obligations-in
https://dart.deloitte.com/USDART/home/codification/revenue/asc606-10/roadmap-revenue-recognition/chapter-5-step-2-identify-performance/5-4-defining-nature-promise
https://dart.deloitte.com/USDART/home/publications/deloitte/industry/technology/technology-accounting-guide</t>
  </si>
  <si>
    <t>SaaS, series, stand-ready, hosted service, daily service</t>
  </si>
  <si>
    <t>SaaS — Usage-Based Variable Consideration Within a Series</t>
  </si>
  <si>
    <t>ASC 606-10-32-39 through 32-40</t>
  </si>
  <si>
    <t>ASC 606-10-25-14(b) through 25-15; ASC 606-10-32-41</t>
  </si>
  <si>
    <t>For a SaaS series, a usage-based fee can be allocated to the distinct service period in which the related usage occurs when the payment relates specifically to that service/outcome and allocating it there is consistent with the allocation objective.</t>
  </si>
  <si>
    <t>1. Confirm usage fee is variable consideration.
2. Confirm target PO is a qualifying series.
3. Determine whether usage relates specifically to distinct service in that period.
4. Determine whether period-specific allocation is consistent with overall allocation objective.
5. If both 32-40 criteria are met, recognize actual qualifying usage with related service; otherwise estimate/allocate under ordinary guidance.</t>
  </si>
  <si>
    <t>Usage formula/rate; actual usage by period; series PO; fixed fees; SSP/value relationship; minimums/tiers; pricing practices.</t>
  </si>
  <si>
    <t>Usage-based does not automatically mean “recognize as billed.” Minimum commitments, cumulative tiers, retrospective discounts, or pricing that does not correspond to period-specific value can require a different analysis.</t>
  </si>
  <si>
    <t>API calls, compute, storage, transactions, messages, token consumption and other simple metered SaaS.</t>
  </si>
  <si>
    <t>Whether 32-40 appears met, target series PO/period, meter terms, and evidence.</t>
  </si>
  <si>
    <t>Both allocation-exception criteria and treatment as usage-as-incurred versus estimated variable consideration.</t>
  </si>
  <si>
    <t>Phase 5B specific_series_period path: exclude future qualifying usage from inception transaction price; add actual usage to lifecycle consideration and revenue in the related service period using exact meter math.</t>
  </si>
  <si>
    <t>https://asc.fasb.org/
https://dart.deloitte.com/USDART/home/codification/revenue/asc606-10/roadmap-revenue-recognition/chapter-7-step-4-allocate-transaction/7-5-allocation-variable-consideration
https://dart.deloitte.com/USDART/home/publications/deloitte/industry/technology/technology-accounting-guide</t>
  </si>
  <si>
    <t>SaaS, usage, metered, series, variable consideration, 32-40, Phase 5B</t>
  </si>
  <si>
    <t>AI/API Token Pricing — Multiple Fixed-Rate Meters</t>
  </si>
  <si>
    <t>A simple hosted AI/API contract may contain multiple fixed-rate usage meters—such as input tokens, cached input tokens, output tokens, or requests—within one usage-based variable-consideration component when the accountant concludes period-specific allocation is appropriate.</t>
  </si>
  <si>
    <t>1. Identify each meter and contractual rate.
2. Express rate exactly as monetary amount per quantity (for example, $4.00 per 1,000,000 tokens).
3. Capture actual usage by accounting period.
4. Apply 32-40 judgment to the related series service.
5. Sum deterministically calculated meter revenue for the period.</t>
  </si>
  <si>
    <t>Meter names; rate amount; rate quantity; usage units; actual period quantities; target series PO; allocation-exception rationale.</t>
  </si>
  <si>
    <t>Do not store tiny token prices as floating-point cents per token. Exact amount-per-quantity ratios avoid precision errors. Multiple meters do not imply multiple POs.</t>
  </si>
  <si>
    <t>Modern AI API, inference, cloud compute, messaging, and other sub-cent metered pricing arrangements.</t>
  </si>
  <si>
    <t>Detected meters/rates/units, target service, and proposed 32-40 conclusion.</t>
  </si>
  <si>
    <t>Meter definitions, target PO, allocation-exception criteria, and actual usage source.</t>
  </si>
  <si>
    <t>Phase 5B uses integer cents/BigInt ratio math: usage quantity × rate amount cents ÷ rate quantity, with deterministic cent rounding; AI never performs authoritative revenue math.</t>
  </si>
  <si>
    <t>FASB ASC; Deloitte Revenue Recognition Roadmap §7.5; technology guidance</t>
  </si>
  <si>
    <t>AI API, token pricing, usage meters, sub-cent, variable consideration, Phase 5B</t>
  </si>
  <si>
    <t>SaaS — Minimum Commitments, Overages, and Tiered Usage</t>
  </si>
  <si>
    <t>ASC 606-10-32-5 through 32-14; ASC 606-10-32-41</t>
  </si>
  <si>
    <t>Usage pricing with annual minimums, cumulative tiers, overages, retrospective discounts, or true-ups requires analysis of whether variable consideration relates specifically to service periods or instead must be estimated and allocated over a broader performance obligation.</t>
  </si>
  <si>
    <t>1. Identify minimum/committed spend.
2. Identify prospective vs retrospective tiers.
3. Determine whether pricing resets by period or is cumulative.
4. Apply 32-40 to period-specific variability.
5. If exception is not met, estimate/constrain/allocate under ordinary variable-consideration guidance.</t>
  </si>
  <si>
    <t>Minimum amount; tier thresholds; overage rates; reset period; true-up terms; actual/forecast usage; SSP/value pattern.</t>
  </si>
  <si>
    <t>An annual threshold can cause late-period overage charges to relate to the annual service rather than only the month billed. Phase 5B simple metered scope intentionally excludes these complex structures from automatic usage-as-incurred treatment.</t>
  </si>
  <si>
    <t>Enterprise SaaS/cloud contracts with committed spend, annual pools, volume pricing, overages.</t>
  </si>
  <si>
    <t>Complexity flags, pricing structure, and which guidance path likely requires further accountant analysis.</t>
  </si>
  <si>
    <t>Whether simple usage-as-incurred is inappropriate and the required alternative treatment.</t>
  </si>
  <si>
    <t>Phase 5B blocks the simple fixed-rate meter path for tiered/minimum/overage structures unless specifically modeled; route to estimated/manual treatment or later advanced phase.</t>
  </si>
  <si>
    <t>SaaS, minimum commitment, overage, tiered pricing, volume discount, usage, Phase 5B limitation</t>
  </si>
  <si>
    <t>SaaS — SLA Credits and Service-Level Penalties</t>
  </si>
  <si>
    <t>ASC 606-10-32-5 through 32-14</t>
  </si>
  <si>
    <t>Service-level credits, uptime penalties, and similar adjustments generally create variable consideration because the amount of consideration depends on future service performance; they require estimation, constraint, and appropriate allocation.</t>
  </si>
  <si>
    <t>1. Identify SLA trigger and credit/penalty formula.
2. Choose expected value or most likely amount based on the uncertainty.
3. Apply constraint.
4. Determine whether the amount relates specifically to a PO or service period under 32-40.
5. Remeasure until resolved.</t>
  </si>
  <si>
    <t>SLA thresholds; credit caps; historical uptime; incident history; expected performance; affected service period; customer claim requirements.</t>
  </si>
  <si>
    <t>A credit need not be paid in cash to reduce transaction price. Customer-claim requirements may affect timing/measurement but do not automatically eliminate variable consideration.</t>
  </si>
  <si>
    <t>Hosted SaaS/cloud uptime guarantees, response-time credits, support penalties.</t>
  </si>
  <si>
    <t>Detected SLA variable component, method, expected outcome, constraint factors, target PO/period.</t>
  </si>
  <si>
    <t>Estimation method, constrained amount, allocation treatment, and resolution.</t>
  </si>
  <si>
    <t>Model as estimated variable-consideration component with dated remeasurement events; apply approved general/specific allocation treatment deterministically.</t>
  </si>
  <si>
    <t>FASB ASC; Deloitte Revenue Recognition Roadmap §§6.3 and 7.5</t>
  </si>
  <si>
    <t>https://asc.fasb.org/
https://dart.deloitte.com/USDART/home/codification/revenue/asc606-10/roadmap-revenue-recognition/chapter-6-step-3-determine-transaction/6-3-variable-consideration
https://dart.deloitte.com/USDART/home/codification/revenue/asc606-10/roadmap-revenue-recognition/chapter-7-step-4-allocate-transaction/7-5-allocation-variable-consideration</t>
  </si>
  <si>
    <t>SaaS, SLA credit, penalty, uptime, variable consideration, Phase 5B</t>
  </si>
  <si>
    <t>Outcome-Based / Agentic AI Pricing</t>
  </si>
  <si>
    <t>ASC 606-10-32-39 through 32-40; ASC 606-10-25-27</t>
  </si>
  <si>
    <t>AI or technology contracts in which consideration depends on achieving customer outcomes generally contain variable consideration and require careful analysis of the measurement method, constraint, allocation target, and satisfaction of the underlying performance obligation.</t>
  </si>
  <si>
    <t>1. Define the outcome and payment formula.
2. Determine whether outcomes are discrete or distributed and select most likely/expected value.
3. Apply constraint.
4. Determine which PO/outcome the variable amount relates to.
5. Determine recognition pattern of the underlying service.</t>
  </si>
  <si>
    <t>Outcome definition; measurement source; payment formula; history/predictive data; dispute/acceptance terms; service period; target PO.</t>
  </si>
  <si>
    <t>Outcome-based pricing does not automatically mean revenue is recognized only when cash is billed. Transaction-price inclusion and performance recognition remain separate from AR/unconditional-right timing.</t>
  </si>
  <si>
    <t>Agentic AI, automation, cost-savings fees, success fees, performance-based technology services.</t>
  </si>
  <si>
    <t>Variable component, estimation method, constraint, allocation, and recognition considerations.</t>
  </si>
  <si>
    <t>Judgments for method/constraint/allocation/performance and any acceptance rights.</t>
  </si>
  <si>
    <t>Use Phase 5B estimated-variable framework for approved components; keep billing/right events separate.</t>
  </si>
  <si>
    <t>FASB ASC; Deloitte technology guidance on outcome-based pricing</t>
  </si>
  <si>
    <t>https://asc.fasb.org/
https://dart.deloitte.com/USDART/home/codification/revenue/asc606-10/roadmap-revenue-recognition/chapter-6-step-3-determine-transaction/6-3-variable-consideration
https://dart.deloitte.com/USDART/home/codification/revenue/asc606-10/roadmap-revenue-recognition/chapter-7-step-4-allocate-transaction/7-5-allocation-variable-consideration
https://dart.deloitte.com/USDART/home/publications/deloitte/industry/technology/accounting-outcome-based-pricing-agentic-ai</t>
  </si>
  <si>
    <t>AI, agentic AI, outcome pricing, success fee, variable consideration, Phase 5B</t>
  </si>
  <si>
    <t>Customer Data Rights as Noncash Consideration</t>
  </si>
  <si>
    <t>ASC 606-10-32-21 through 32-24</t>
  </si>
  <si>
    <t>If a customer transfers a valuable data right or other noncash asset to the entity as consideration for goods/services, the entity evaluates whether noncash consideration exists and how it should be measured and treated for subsequent variability.</t>
  </si>
  <si>
    <t>1. Determine whether the entity receives a substantive right/asset from the customer as consideration.
2. Determine fair value or alternate measurement basis if fair value cannot be reasonably estimated.
3. Separate form-driven value changes from performance-driven variability.</t>
  </si>
  <si>
    <t>Contract data clauses; permitted uses; exclusivity; transferability; fair value evidence; customer privacy/consent rights; performance conditions.</t>
  </si>
  <si>
    <t>Not every right to process customer data is consideration; many data-processing rights are necessary to perform the service rather than payment. Legal/privacy analysis may be required before accounting classification.</t>
  </si>
  <si>
    <t>AI/data platforms where customers grant commercializable data/model-training rights.</t>
  </si>
  <si>
    <t>Whether a substantive noncash consideration right may exist and what evidence is missing.</t>
  </si>
  <si>
    <t>Existence/valuation of noncash consideration and legal assumptions.</t>
  </si>
  <si>
    <t>Only accountant-approved measured noncash consideration enters transaction price; Revenue Compass should flag valuation/legal uncertainty instead of inventing value.</t>
  </si>
  <si>
    <t>FASB ASC; Deloitte Revenue Recognition Roadmap §6.5; technology guidance</t>
  </si>
  <si>
    <t>https://asc.fasb.org/
https://dart.deloitte.com/USDART/home/codification/revenue/asc606-10/roadmap-revenue-recognition/chapter-6-step-3-determine-transaction/6-5-noncash-consideration
https://dart.deloitte.com/USDART/home/publications/deloitte/industry/technology/technology-accounting-guide</t>
  </si>
  <si>
    <t>AI, data rights, noncash consideration, fair value, model training</t>
  </si>
  <si>
    <t>Hybrid Hardware + Cloud Services</t>
  </si>
  <si>
    <t>ASC 606-10-25-23 through 25-30; ASC 606-10-32-28 through 32-41</t>
  </si>
  <si>
    <t>Contracts combining hardware and cloud/service elements require separate promise/distinctness analysis, SSP allocation, and recognition timing for each PO; hardware may transfer at a point in time while cloud service transfers over time.</t>
  </si>
  <si>
    <t>1. Identify hardware and service promises.
2. Assess whether they are distinct or integrated.
3. Determine SSP and allocate transaction price.
4. Determine control transfer for hardware.
5. Determine over-time pattern for cloud/service.</t>
  </si>
  <si>
    <t>Hardware functionality without cloud; cloud dependency; integration; SSPs; shipping/acceptance; service term; support/updates.</t>
  </si>
  <si>
    <t>Hardware and service invoice lines do not prove separate POs. Highly integrated smart devices may require additional analysis of the combined promise.</t>
  </si>
  <si>
    <t>Connected devices, security appliances, IoT, hardware bundled with SaaS subscriptions.</t>
  </si>
  <si>
    <t>Candidate POs, distinctness, allocation and timing.</t>
  </si>
  <si>
    <t>Grouping, SSPs, and recognition methods.</t>
  </si>
  <si>
    <t>Use normal deterministic allocation and separate PIT/OT schedule sources after approved judgments.</t>
  </si>
  <si>
    <t>FASB ASC; Deloitte technology industry guidance</t>
  </si>
  <si>
    <t>hardware, cloud service, IoT, bundle, multiple performance obligations</t>
  </si>
  <si>
    <t>Optional Purchases Versus Variable Consideration</t>
  </si>
  <si>
    <t>ASC 606-10-25-14 through 25-18</t>
  </si>
  <si>
    <t>ASC 606-10-55-41 through 55-45; ASC 606-10-32-5 through 32-14</t>
  </si>
  <si>
    <t>A customer’s future optional purchase of additional goods/services is generally not variable consideration for the original promised goods/services merely because the quantity is uncertain; it is evaluated as a customer option and may create a material right. In contrast, variability in consideration for goods/services already promised is variable consideration.</t>
  </si>
  <si>
    <t>1. Identify whether customer is obligated for an uncertain amount of already-promised service or can choose whether to purchase additional goods/services.
2. If optional purchase, apply material-right guidance.
3. If consideration varies for an existing promise, apply variable-consideration guidance.</t>
  </si>
  <si>
    <t>Minimum commitment; cancellation rights; additional-unit option; renewal/discount terms; usage obligation; purchase discretion.</t>
  </si>
  <si>
    <t>This distinction is critical in SaaS usage contracts: some arrangements promise stand-ready service with variable usage fees; others sell optional incremental units only when ordered.</t>
  </si>
  <si>
    <t>Usage, seat expansions, add-on modules, cloud credits, renewal options.</t>
  </si>
  <si>
    <t>Optional purchase vs existing-promise variability classification and why.</t>
  </si>
  <si>
    <t>Classification and any material-right/variable-consideration treatment.</t>
  </si>
  <si>
    <t>Route optional purchases to material-right/contract-addition logic and genuine variable consideration to Phase 5B components; do not mix the two.</t>
  </si>
  <si>
    <t>FASB ASC; Deloitte Revenue Recognition Roadmap Chs. 6 and 11</t>
  </si>
  <si>
    <t>https://asc.fasb.org/
https://dart.deloitte.com/USDART/home/codification/revenue/asc606-10/roadmap-revenue-recognition/chapter-6-step-3-determine-transaction/6-3-variable-consideration
https://dart.deloitte.com/USDART/home/codification/revenue/asc606-10/roadmap-revenue-recognition/chapter-11-customer-options-for-additional</t>
  </si>
  <si>
    <t>optional purchase, variable consideration, material right, usage, additional units</t>
  </si>
  <si>
    <t>Usage Fee Revenue Versus Billing / AR Timing</t>
  </si>
  <si>
    <t>ASC 606-10-45-1 through 45-4; ASC 606-10-25-23</t>
  </si>
  <si>
    <t>When qualifying usage-based consideration is recognized with the related service period, revenue timing remains separate from when the entity’s right to consideration becomes unconditional and from when an invoice is issued or cash is collected.</t>
  </si>
  <si>
    <t>1. Determine period of service/usage revenue under Step 4/5.
2. Determine when contractual usage measurement creates an unconditional right.
3. Determine invoice date.
4. Determine cash collection date.
5. Present CA/AR/CL accordingly.</t>
  </si>
  <si>
    <t>Usage period; meter finalization; contractual billing cut-off; unconditional-right terms; invoice date; cash date.</t>
  </si>
  <si>
    <t>Revenue can precede AR and create a contract asset. An unconditional right can exist before invoice issuance and be unbilled AR. Actual usage does not automatically establish the legal right on the same date.</t>
  </si>
  <si>
    <t>Metered SaaS/API usage billed in arrears or after measurement/validation.</t>
  </si>
  <si>
    <t>Revenue period, proposed unconditional-right date, invoice date and supporting contract evidence.</t>
  </si>
  <si>
    <t>Right timing and billing facts.</t>
  </si>
  <si>
    <t>Phase 5B never creates AR merely because variable consideration enters lifecycle consideration/revenue. Phase 3 rights/invoices remain separate optional-linked events.</t>
  </si>
  <si>
    <t>FASB ASC; Deloitte Revenue Recognition Roadmap §§7.5 and 14.1</t>
  </si>
  <si>
    <t>https://asc.fasb.org/
https://dart.deloitte.com/USDART/home/codification/revenue/asc606-10/roadmap-revenue-recognition/chapter-7-step-4-allocate-transaction/7-5-allocation-variable-consideration
https://dart.deloitte.com/USDART/home/codification/revenue/asc606-10/roadmap-revenue-recognition/chapter-14-presentation/14-1-overview</t>
  </si>
  <si>
    <t>usage revenue, billing, AR, contract asset, unconditional right, Phase 5B</t>
  </si>
  <si>
    <t>Portfolio Practical Expedient</t>
  </si>
  <si>
    <t>ASC 606-10-10-4</t>
  </si>
  <si>
    <t>ASC 606-10-05-4</t>
  </si>
  <si>
    <t>ASC 606 may be applied to a portfolio of contracts or performance obligations with similar characteristics when the entity reasonably expects the financial-statement effects would not differ materially from applying the guidance to individual contracts or performance obligations.</t>
  </si>
  <si>
    <t>1. Define portfolio and similar characteristics.
2. Assess expected difference from individual-contract accounting.
3. Document why the difference would not be material.
4. Apply estimates/assumptions that reflect portfolio size/composition.</t>
  </si>
  <si>
    <t>Contract population; similarity criteria; expected outcomes; materiality analysis; sampling/analytics; policy.</t>
  </si>
  <si>
    <t>This is a practical expedient, not permission to ignore contract-specific terms that create materially different outcomes. Revenue Compass currently analyzes individual contract lifecycles unless a future portfolio module is added.</t>
  </si>
  <si>
    <t>High-volume homogeneous customer contracts, consumer subscriptions, standardized transactions.</t>
  </si>
  <si>
    <t>Whether a population appears suitable for portfolio treatment and what characteristics support similarity.</t>
  </si>
  <si>
    <t>Policy election and materiality assessment.</t>
  </si>
  <si>
    <t>No automated portfolio accounting in current scope; retain as reference and future expansion point.</t>
  </si>
  <si>
    <t>FASB ASC; Deloitte Revenue Recognition Roadmap overview</t>
  </si>
  <si>
    <t>portfolio practical expedient, similar contracts, materiality, high volume</t>
  </si>
  <si>
    <t>Source Index</t>
  </si>
  <si>
    <t>Source ID</t>
  </si>
  <si>
    <t>Authority Level</t>
  </si>
  <si>
    <t>Publisher</t>
  </si>
  <si>
    <t>Source / Section</t>
  </si>
  <si>
    <t>Use in Library</t>
  </si>
  <si>
    <t>URL</t>
  </si>
  <si>
    <t>Last Checked</t>
  </si>
  <si>
    <t>S-001</t>
  </si>
  <si>
    <t>Authoritative</t>
  </si>
  <si>
    <t>FASB</t>
  </si>
  <si>
    <t>Accounting Standards Codification / Standards</t>
  </si>
  <si>
    <t>Official source of authoritative nongovernmental U.S. GAAP. Use the Codification paragraph references in each card as the primary authority.</t>
  </si>
  <si>
    <t>2026-09-04</t>
  </si>
  <si>
    <t>S-002</t>
  </si>
  <si>
    <t>Authoritative access</t>
  </si>
  <si>
    <t>Accounting Standards Codification Basic View</t>
  </si>
  <si>
    <t>Access point for ASC research. Do not reproduce substantial copyrighted Codification text in the library; use original paraphrases and paragraph references.</t>
  </si>
  <si>
    <t>S-010</t>
  </si>
  <si>
    <t>Interpretive</t>
  </si>
  <si>
    <t>Deloitte</t>
  </si>
  <si>
    <t>Revenue Recognition Roadmap — Main</t>
  </si>
  <si>
    <t>Comprehensive nonauthoritative interpretation of ASC 606, ASC 340-40 and related implementation issues.</t>
  </si>
  <si>
    <t>S-011</t>
  </si>
  <si>
    <t>Step 1 — Identify the Contract</t>
  </si>
  <si>
    <t>Contract criteria, enforceability, term, reassessment, failed contracts and combining contracts.</t>
  </si>
  <si>
    <t>https://dart.deloitte.com/USDART/home/codification/revenue/asc606-10/roadmap-revenue-recognition/chapter-4-step-1-identify-contract</t>
  </si>
  <si>
    <t>S-012</t>
  </si>
  <si>
    <t>Step 2 — Promises in Contracts</t>
  </si>
  <si>
    <t>Explicit/implied promises, fulfillment activities, immaterial promises and shipping/handling.</t>
  </si>
  <si>
    <t>https://dart.deloitte.com/USDART/home/codification/revenue/asc606-10/roadmap-revenue-recognition/chapter-5-step-2-identify-performance/5-2-promises-in-contracts-with</t>
  </si>
  <si>
    <t>S-013</t>
  </si>
  <si>
    <t>Step 2 — Identifying Performance Obligations</t>
  </si>
  <si>
    <t>Distinctness, series guidance and unit-of-account analysis.</t>
  </si>
  <si>
    <t>https://dart.deloitte.com/USDART/home/codification/revenue/asc606-10/roadmap-revenue-recognition/chapter-5-step-2-identify-performance/5-3-identifying-performance-obligations-in</t>
  </si>
  <si>
    <t>S-014</t>
  </si>
  <si>
    <t>Step 2 — Nature of the Promise</t>
  </si>
  <si>
    <t>Stand-ready obligations and defining recurring service promises.</t>
  </si>
  <si>
    <t>https://dart.deloitte.com/USDART/home/codification/revenue/asc606-10/roadmap-revenue-recognition/chapter-5-step-2-identify-performance/5-4-defining-nature-promise</t>
  </si>
  <si>
    <t>S-015</t>
  </si>
  <si>
    <t>Upfront-fee analysis and relation to future services/material rights.</t>
  </si>
  <si>
    <t>https://dart.deloitte.com/USDART/home/codification/revenue/asc606-10/roadmap-revenue-recognition/chapter-5-step-2-identify-performance/5-6-nonrefundable-up-front-fees</t>
  </si>
  <si>
    <t>S-016</t>
  </si>
  <si>
    <t>Interpretive / industry</t>
  </si>
  <si>
    <t>Implementation Services in Cloud-Based Hosted Software</t>
  </si>
  <si>
    <t>Technology-specific hosted-software implementation analysis.</t>
  </si>
  <si>
    <t>https://dart.deloitte.com/USDART/home/publications/deloitte/industry/technology/technology-alerts-applying-revenue-standard/implementation-services-cloud-based-hosted-software</t>
  </si>
  <si>
    <t>S-020</t>
  </si>
  <si>
    <t>Step 3 — Determine the Transaction Price</t>
  </si>
  <si>
    <t>Transaction price framework.</t>
  </si>
  <si>
    <t>https://dart.deloitte.com/USDART/home/codification/revenue/asc606-10/roadmap-revenue-recognition/chapter-6-step-3-determine-transaction</t>
  </si>
  <si>
    <t>S-021</t>
  </si>
  <si>
    <t>Variable Consideration</t>
  </si>
  <si>
    <t>Identification, estimation methods, constraint and remeasurement.</t>
  </si>
  <si>
    <t>https://dart.deloitte.com/USDART/home/codification/revenue/asc606-10/roadmap-revenue-recognition/chapter-6-step-3-determine-transaction/6-3-variable-consideration</t>
  </si>
  <si>
    <t>S-022</t>
  </si>
  <si>
    <t>Significant Financing Component</t>
  </si>
  <si>
    <t>Identification, exceptions, practical expedient, discount rate and presentation.</t>
  </si>
  <si>
    <t>https://dart.deloitte.com/USDART/home/codification/revenue/asc606-10/roadmap-revenue-recognition/chapter-6-step-3-determine-transaction/6-4-significant-financing-component</t>
  </si>
  <si>
    <t>S-023</t>
  </si>
  <si>
    <t>Noncash Consideration</t>
  </si>
  <si>
    <t>Measurement and subsequent variability of noncash consideration.</t>
  </si>
  <si>
    <t>https://dart.deloitte.com/USDART/home/codification/revenue/asc606-10/roadmap-revenue-recognition/chapter-6-step-3-determine-transaction/6-5-noncash-consideration</t>
  </si>
  <si>
    <t>S-024</t>
  </si>
  <si>
    <t>Revenue reductions versus purchases of distinct goods/services from customers.</t>
  </si>
  <si>
    <t>https://dart.deloitte.com/USDART/home/codification/revenue/asc606-10/roadmap-revenue-recognition/chapter-6-step-3-determine-transaction/6-6-consideration-payable-a-customer</t>
  </si>
  <si>
    <t>S-030</t>
  </si>
  <si>
    <t>Step 4 — Allocate Transaction Price</t>
  </si>
  <si>
    <t>Allocation framework and SSP.</t>
  </si>
  <si>
    <t>https://dart.deloitte.com/USDART/home/codification/revenue/asc606-10/roadmap-revenue-recognition/chapter-7-step-4-allocate-transaction</t>
  </si>
  <si>
    <t>S-031</t>
  </si>
  <si>
    <t>Stand-Alone Selling Price</t>
  </si>
  <si>
    <t>Observable and estimated SSP approaches.</t>
  </si>
  <si>
    <t>https://dart.deloitte.com/USDART/home/codification/revenue/asc606-10/roadmap-revenue-recognition/chapter-7-step-4-allocate-transaction/7-3-determine-stand-alone-selling</t>
  </si>
  <si>
    <t>S-032</t>
  </si>
  <si>
    <t>Allocation of a Discount</t>
  </si>
  <si>
    <t>General discount allocation and specific discount exception.</t>
  </si>
  <si>
    <t>https://dart.deloitte.com/USDART/home/codification/revenue/asc606-10/roadmap-revenue-recognition/chapter-7-step-4-allocate-transaction/7-4-allocation-a-discount</t>
  </si>
  <si>
    <t>S-033</t>
  </si>
  <si>
    <t>Allocation of Variable Consideration</t>
  </si>
  <si>
    <t>ASC 606-10-32-39 through 32-41, including SaaS series-period examples.</t>
  </si>
  <si>
    <t>https://dart.deloitte.com/USDART/home/codification/revenue/asc606-10/roadmap-revenue-recognition/chapter-7-step-4-allocate-transaction/7-5-allocation-variable-consideration</t>
  </si>
  <si>
    <t>S-034</t>
  </si>
  <si>
    <t>Changes in Transaction Price</t>
  </si>
  <si>
    <t>Subsequent transaction-price changes and allocation.</t>
  </si>
  <si>
    <t>https://dart.deloitte.com/USDART/home/codification/revenue/asc606-10/roadmap-revenue-recognition/chapter-7-step-4-allocate-transaction/7-6-changes-in-transaction-price</t>
  </si>
  <si>
    <t>S-040</t>
  </si>
  <si>
    <t>Step 5 — Revenue Recognized Over Time</t>
  </si>
  <si>
    <t>ASC 606-10-25-27 criteria, alternative use and right to payment.</t>
  </si>
  <si>
    <t>https://dart.deloitte.com/USDART/home/codification/revenue/asc606-10/roadmap-revenue-recognition/chapter-8-step-5-determine-when/8-4-revenue-recognized-over-time</t>
  </si>
  <si>
    <t>S-041</t>
  </si>
  <si>
    <t>Step 5 — Measuring Progress</t>
  </si>
  <si>
    <t>Output/input methods, right-to-invoice and progress updates.</t>
  </si>
  <si>
    <t>https://dart.deloitte.com/USDART/home/codification/revenue/asc606-10/roadmap-revenue-recognition/chapter-8-step-5-determine-when/8-5-measuring-progress-for-revenue</t>
  </si>
  <si>
    <t>S-042</t>
  </si>
  <si>
    <t>Step 5 — Revenue Recognized at a Point in Time</t>
  </si>
  <si>
    <t>Control-transfer indicators and point-in-time recognition.</t>
  </si>
  <si>
    <t>https://dart.deloitte.com/USDART/home/codification/revenue/asc606-10/roadmap-revenue-recognition/chapter-8-step-5-determine-when/8-6-revenue-recognized-a-point</t>
  </si>
  <si>
    <t>S-050</t>
  </si>
  <si>
    <t>Contract Modifications</t>
  </si>
  <si>
    <t>Separate-contract, prospective, cumulative catch-up and mixed modification models.</t>
  </si>
  <si>
    <t>https://dart.deloitte.com/USDART/home/codification/revenue/asc606-10/roadmap-revenue-recognition/chapter-9-contract-modifications/9-2-types-contract-modifications</t>
  </si>
  <si>
    <t>S-051</t>
  </si>
  <si>
    <t>Principal Versus Agent</t>
  </si>
  <si>
    <t>Specified good/service and control-before-transfer analysis.</t>
  </si>
  <si>
    <t>https://dart.deloitte.com/USDART/home/codification/revenue/asc606-10/roadmap-revenue-recognition/chapter-10-principal-versus-agent-considerations</t>
  </si>
  <si>
    <t>S-052</t>
  </si>
  <si>
    <t>Customer Options / Material Rights</t>
  </si>
  <si>
    <t>Material-right identification, valuation and recognition.</t>
  </si>
  <si>
    <t>https://dart.deloitte.com/USDART/home/codification/revenue/asc606-10/roadmap-revenue-recognition/chapter-11-customer-options-for-additional</t>
  </si>
  <si>
    <t>S-053</t>
  </si>
  <si>
    <t>Licensing</t>
  </si>
  <si>
    <t>IP license scope, access/use and royalty exception.</t>
  </si>
  <si>
    <t>https://dart.deloitte.com/USDART/home/codification/revenue/asc606-10/roadmap-revenue-recognition/chapter-12-licensing</t>
  </si>
  <si>
    <t>S-054</t>
  </si>
  <si>
    <t>Contract Costs</t>
  </si>
  <si>
    <t>ASC 340-40 acquisition and fulfillment costs.</t>
  </si>
  <si>
    <t>https://dart.deloitte.com/USDART/home/codification/revenue/asc606-10/roadmap-revenue-recognition/chapter-13-contract-costs</t>
  </si>
  <si>
    <t>S-055</t>
  </si>
  <si>
    <t>Presentation</t>
  </si>
  <si>
    <t>Contract assets, contract liabilities and receivables.</t>
  </si>
  <si>
    <t>https://dart.deloitte.com/USDART/home/codification/revenue/asc606-10/roadmap-revenue-recognition/chapter-14-presentation/14-1-overview</t>
  </si>
  <si>
    <t>S-060</t>
  </si>
  <si>
    <t>Technology Industry Accounting Guide</t>
  </si>
  <si>
    <t>Technology/SaaS/AI industry considerations and links to revenue topics.</t>
  </si>
  <si>
    <t>S-061</t>
  </si>
  <si>
    <t>Technology Revenue Alerts</t>
  </si>
  <si>
    <t>Technology-specific implementation issues under ASC 606.</t>
  </si>
  <si>
    <t>https://dart.deloitte.com/USDART/home/publications/deloitte/industry/technology/technology-alerts-applying-revenue-standard</t>
  </si>
  <si>
    <t>S-062</t>
  </si>
  <si>
    <t>Outcome-Based Pricing for Agentic AI</t>
  </si>
  <si>
    <t>Contemporary technology discussion relevant to variable consideration in outcome-based AI pricing.</t>
  </si>
  <si>
    <t>https://dart.deloitte.com/USDART/home/publications/deloitte/industry/technology/accounting-outcome-based-pricing-agentic-ai</t>
  </si>
  <si>
    <t>S-070</t>
  </si>
  <si>
    <t>EY</t>
  </si>
  <si>
    <t>Financial Reporting Developments — Revenue from Contracts with Customers</t>
  </si>
  <si>
    <t>Alternative comprehensive nonauthoritative ASC 606 reference for cross-checking interpretations.</t>
  </si>
  <si>
    <t>Phase 5B — Variable Consideration Requirements Traceability</t>
  </si>
  <si>
    <t>Approved design requirements mapped to this library. Item numbers are derived from matching guidance-card subtopics so the map stays readable even if cards are reordered.</t>
  </si>
  <si>
    <t>Requirement</t>
  </si>
  <si>
    <t>Supporting Guidance Cards</t>
  </si>
  <si>
    <t>Supporting Item Nos.</t>
  </si>
  <si>
    <t>Approved Revenue Compass Treatment</t>
  </si>
  <si>
    <t>Review Status</t>
  </si>
  <si>
    <t>Detect variable consideration only when relevant</t>
  </si>
  <si>
    <t>27</t>
  </si>
  <si>
    <t>AI proposes present / absent / uncertain based on contract evidence. Accountant confirms/overrides. Manual mode uses an explicit Yes/No trigger; the detailed component UI remains collapsed when not relevant.</t>
  </si>
  <si>
    <t>Design approved; guidance card review pending</t>
  </si>
  <si>
    <t>Support expected value method</t>
  </si>
  <si>
    <t>28</t>
  </si>
  <si>
    <t>Accountant approves method/outcomes/probabilities; deterministic engine performs probability-weighted money calculation.</t>
  </si>
  <si>
    <t>Support most likely amount method</t>
  </si>
  <si>
    <t>29</t>
  </si>
  <si>
    <t>Accountant approves method and most-likely outcome; do not probability-weight a binary outcome unless expected-value method is selected.</t>
  </si>
  <si>
    <t>Keep estimation method consistent by component</t>
  </si>
  <si>
    <t>30</t>
  </si>
  <si>
    <t>Phase 5B locks the approved method for each component and uses dated remeasurement events.</t>
  </si>
  <si>
    <t>Constraint is accountant judgment, not a probability haircut</t>
  </si>
  <si>
    <t>Variable Consideration Constraint; Constraint — Reversal Risk Factors</t>
  </si>
  <si>
    <t>32, 33</t>
  </si>
  <si>
    <t>Engine computes unconstrained estimate. Accountant enters constrained amount included. Engine validates range and derives excluded/partial/full status.</t>
  </si>
  <si>
    <t>Remeasure estimated variable consideration over time</t>
  </si>
  <si>
    <t>Remeasurement of Variable Consideration; Allocating Subsequent Transaction-Price Changes</t>
  </si>
  <si>
    <t>34, 56</t>
  </si>
  <si>
    <t>Preserve original assessment and dated updates. Compute delta and cumulative catch-up deterministically.</t>
  </si>
  <si>
    <t>Allow multiple variable-consideration components</t>
  </si>
  <si>
    <t>Each component has its own treatment, method/usage meters, constraint if estimated, allocation treatment, rationale, evidence and lifecycle history.</t>
  </si>
  <si>
    <t>General vs specific PO allocation</t>
  </si>
  <si>
    <t>Variable Consideration — What It Relates To; Variable Consideration Allocation Exception</t>
  </si>
  <si>
    <t>52, 53</t>
  </si>
  <si>
    <t>Approved allocation treatment is general or specific_po. 32-40 requires both “relates specifically” and “consistent with allocation objective.”</t>
  </si>
  <si>
    <t>Specific distinct service period within a series</t>
  </si>
  <si>
    <t>Variable Consideration Allocation Exception; SaaS — Usage-Based Variable Consideration Within a Series</t>
  </si>
  <si>
    <t>53, 107</t>
  </si>
  <si>
    <t>Approved allocation treatment specific_series_period is available only for qualifying series and approved 32-40 criteria.</t>
  </si>
  <si>
    <t>Qualifying simple usage recognized as incurred</t>
  </si>
  <si>
    <t>107</t>
  </si>
  <si>
    <t>Future qualifying usage is not forecast into inception TP. Actual usage increases lifecycle consideration and related-period revenue as incurred.</t>
  </si>
  <si>
    <t>Multiple fixed-rate usage meters with exact ratios</t>
  </si>
  <si>
    <t>108</t>
  </si>
  <si>
    <t>Represent price as exact amount per quantity (e.g., $4.00 per 1,000,000 tokens); compute with integer cents/BigInt, not floating-point fractional cents.</t>
  </si>
  <si>
    <t>Complex minimum/tier/overage pricing excluded from simple meter path</t>
  </si>
  <si>
    <t>109</t>
  </si>
  <si>
    <t>Flag and route to estimated/manual analysis or a future advanced phase rather than forcing usage-as-incurred logic.</t>
  </si>
  <si>
    <t>Revenue is separate from AR / invoice timing</t>
  </si>
  <si>
    <t>Usage Fee Revenue Versus Billing / AR Timing; Unconditional Right Versus Invoice Date</t>
  </si>
  <si>
    <t>115, 101</t>
  </si>
  <si>
    <t>Phase 5B never creates AR solely because VC is included or usage revenue is recognized. Phase 3 rights/invoices remain separate and may link to VC sources.</t>
  </si>
  <si>
    <t>Case 7 — AtlasData/TitanEnergy acceptance case</t>
  </si>
  <si>
    <t>Most Likely Amount Method; Variable Consideration Constraint; Variable Consideration Allocation Exception; Point-in-Time Recognition</t>
  </si>
  <si>
    <t>29, 32, 53, 67</t>
  </si>
  <si>
    <t>Fixed consideration $460,000. $30,000 completion bonus is a binary VC component; most-likely amount can be $30,000, full constraint inclusion if approved, total TP $490,000. Fixed pool allocates by SSP ($55,200 implementation / $404,800 SaaS); bonus allocates specifically to implementation if 32-40 is approved, producing $85,200 implementation / $404,800 SaaS. Implementation is point-in-time on 3/20/2027 when no 25-27 criterion is met; lack of enforceable right to payment means 25-27(c) fails regardless of alternative use. Bonus inclusion does not create AR before the right is unconditional.</t>
  </si>
  <si>
    <t>Library Coverage &amp; Review Dashboard</t>
  </si>
  <si>
    <t>Cards</t>
  </si>
  <si>
    <t>Draft</t>
  </si>
  <si>
    <t>Reviewed</t>
  </si>
  <si>
    <t>Approved</t>
  </si>
  <si>
    <t>Needs revision</t>
  </si>
  <si>
    <t>Total</t>
  </si>
  <si>
    <t>Phase 5B mapped requirements</t>
  </si>
  <si>
    <t>Prepared date</t>
  </si>
  <si>
    <t>Field Dictionary &amp; Controlled Values</t>
  </si>
  <si>
    <t>Field / Value</t>
  </si>
  <si>
    <t>Type</t>
  </si>
  <si>
    <t>Meaning</t>
  </si>
  <si>
    <t>Implementation Notes</t>
  </si>
  <si>
    <t>Stable identifier</t>
  </si>
  <si>
    <t>Sequential study/reference ID.</t>
  </si>
  <si>
    <t>Do not renumber simply because you insert a new card in the future; append new IDs or deliberately version the library.</t>
  </si>
  <si>
    <t>Controlled category</t>
  </si>
  <si>
    <t>Step 1, Step 2, Step 3, Step 4, Step 5, or Special Topics / Industry Applications.</t>
  </si>
  <si>
    <t>Primary retrieval/filter category.</t>
  </si>
  <si>
    <t>Decision name</t>
  </si>
  <si>
    <t>One meaningful accounting decision or application.</t>
  </si>
  <si>
    <t>More useful for retrieval than one row per Codification paragraph.</t>
  </si>
  <si>
    <t>Authority pointer</t>
  </si>
  <si>
    <t>Main paragraph(s) underlying the card.</t>
  </si>
  <si>
    <t>Authoritative source; verify before card approval.</t>
  </si>
  <si>
    <t>Authority pointers</t>
  </si>
  <si>
    <t>Other paragraphs needed for context, exceptions or downstream accounting.</t>
  </si>
  <si>
    <t>Semicolon-delimited.</t>
  </si>
  <si>
    <t>Original synthesis</t>
  </si>
  <si>
    <t>Concise plain-English statement of the accounting principle.</t>
  </si>
  <si>
    <t>Paraphrase; do not reproduce substantial copyrighted ASC text.</t>
  </si>
  <si>
    <t>Decision framework</t>
  </si>
  <si>
    <t>Questions/tests the accountant and AI should evaluate.</t>
  </si>
  <si>
    <t>Should be specific enough to drive review UI.</t>
  </si>
  <si>
    <t>Evidence requirements</t>
  </si>
  <si>
    <t>Contract or management facts needed to reach a supportable proposal.</t>
  </si>
  <si>
    <t>Missing facts should trigger uncertainty rather than fabrication.</t>
  </si>
  <si>
    <t>Interpretive cautions</t>
  </si>
  <si>
    <t>Exceptions, common errors, boundaries and distinctions.</t>
  </si>
  <si>
    <t>Often the highest-value retrieval field for avoiding simplistic conclusions.</t>
  </si>
  <si>
    <t>Retrieval trigger</t>
  </si>
  <si>
    <t>Fact patterns that should cause the card to be retrieved.</t>
  </si>
  <si>
    <t>Use with Retrieval Tags.</t>
  </si>
  <si>
    <t>AI boundary</t>
  </si>
  <si>
    <t>Facts/judgments/rationale AI may prepopulate.</t>
  </si>
  <si>
    <t>Always pending accountant approval unless purely deterministic downstream calculation.</t>
  </si>
  <si>
    <t>Human boundary</t>
  </si>
  <si>
    <t>Judgments that must become authoritative only through human review.</t>
  </si>
  <si>
    <t>Explicit human-in-the-loop control.</t>
  </si>
  <si>
    <t>Product control</t>
  </si>
  <si>
    <t>Deterministic behavior after approval.</t>
  </si>
  <si>
    <t>Product policy/limitation, not GAAP authority.</t>
  </si>
  <si>
    <t>Nonauthoritative research</t>
  </si>
  <si>
    <t>Deloitte/EY source used to understand application.</t>
  </si>
  <si>
    <t>Cross-check against current authoritative ASC before approval.</t>
  </si>
  <si>
    <t>Source links</t>
  </si>
  <si>
    <t>Plain-text URLs used for source navigation.</t>
  </si>
  <si>
    <t>May contain multiple newline-delimited URLs.</t>
  </si>
  <si>
    <t>Search metadata</t>
  </si>
  <si>
    <t>Keywords/fact-pattern labels for future RAG/retrieval.</t>
  </si>
  <si>
    <t>Comma-delimited; keep specific and accounting-oriented.</t>
  </si>
  <si>
    <t>Workflow</t>
  </si>
  <si>
    <t>Draft — user review required / Reviewed / Approved / Needs revision.</t>
  </si>
  <si>
    <t>AI corpus should eventually use only Approved cards for authoritative proposals; drafts can remain study material.</t>
  </si>
  <si>
    <t>Governance date</t>
  </si>
  <si>
    <t>Date accountant last verified card against sources.</t>
  </si>
  <si>
    <t>Leave blank until actual review; refresh after meaningful standards/source changes.</t>
  </si>
  <si>
    <t>present / absent / uncertain</t>
  </si>
  <si>
    <t>AI tri-state</t>
  </si>
  <si>
    <t>Recommended AI output when determining whether an accounting feature/fact is present.</t>
  </si>
  <si>
    <t>Avoids forcing false certainty; accountant can override.</t>
  </si>
  <si>
    <t>general</t>
  </si>
  <si>
    <t>VC allocation treatment</t>
  </si>
  <si>
    <t>Variable amount enters ordinary relative-SSP allocation pool.</t>
  </si>
  <si>
    <t>Phase 5B controlled value.</t>
  </si>
  <si>
    <t>specific_po</t>
  </si>
  <si>
    <t>Variable amount allocated entirely to one approved PO under ASC 606-10-32-40.</t>
  </si>
  <si>
    <t>specific_series_period</t>
  </si>
  <si>
    <t>Variable amount allocated to related distinct services within an approved series under ASC 606-10-32-40.</t>
  </si>
  <si>
    <t>estimated</t>
  </si>
  <si>
    <t>VC treatment</t>
  </si>
  <si>
    <t>Variable amount estimated using expected value or most likely amount, then constrained.</t>
  </si>
  <si>
    <t>usage_as_incurred</t>
  </si>
  <si>
    <t>Qualifying simple fixed-rate metered amount recognized with actual related service usage after 32-40 approval.</t>
  </si>
  <si>
    <t>Phase 5B controlled value; not a universal rule for usage pricing.</t>
  </si>
  <si>
    <t>most_likely_amount</t>
  </si>
  <si>
    <t>VC estimation method</t>
  </si>
  <si>
    <t>Single most likely outcome.</t>
  </si>
  <si>
    <t>Best predictor judgment belongs to accountant.</t>
  </si>
  <si>
    <t>expected_value</t>
  </si>
  <si>
    <t>Probability-weighted sum of outcomes.</t>
  </si>
  <si>
    <t>Deterministic engine computes from approved amounts/probabilities.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</si>
</sst>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14" x14ac:knownFonts="1">
    <font>
      <sz val="11"/>
      <color theme="1"/>
      <name val="Calibri"/>
      <family val="2"/>
      <scheme val="minor"/>
    </font>
    <font>
      <b/>
      <sz val="18"/>
      <color rgb="FFFFFFFF"/>
      <name val="Calibri"/>
      <family val="2"/>
    </font>
    <font>
      <i/>
      <sz val="11"/>
      <color rgb="FF666666"/>
      <name val="Calibri"/>
      <family val="2"/>
    </font>
    <font>
      <b/>
      <sz val="11"/>
      <color rgb="FFFFFFFF"/>
      <name val="Calibri"/>
      <family val="2"/>
    </font>
    <font>
      <b/>
      <sz val="11"/>
      <color rgb="FF666666"/>
      <name val="Calibri"/>
      <family val="2"/>
    </font>
    <font>
      <u/>
      <sz val="11"/>
      <color rgb="FF0563C1"/>
      <name val="Calibri"/>
      <family val="2"/>
    </font>
    <font>
      <b/>
      <sz val="16"/>
      <color rgb="FFFFFFFF"/>
      <name val="Calibri"/>
      <family val="2"/>
    </font>
    <font>
      <sz val="9"/>
      <color rgb="FF000000"/>
      <name val="Calibri"/>
      <family val="2"/>
    </font>
    <font>
      <b/>
      <sz val="9"/>
      <color rgb="FF548235"/>
      <name val="Calibri"/>
      <family val="2"/>
    </font>
    <font>
      <sz val="9"/>
      <color rgb="FF548235"/>
      <name val="Calibri"/>
      <family val="2"/>
    </font>
    <font>
      <sz val="8"/>
      <color rgb="FF0563C1"/>
      <name val="Calibri"/>
      <family val="2"/>
    </font>
    <font>
      <sz val="11"/>
      <color rgb="FF666666"/>
      <name val="Calibri"/>
      <family val="2"/>
    </font>
    <font>
      <sz val="11"/>
      <color rgb="FF000000"/>
      <name val="Calibri"/>
      <family val="2"/>
    </font>
    <font>
      <b/>
      <sz val="11"/>
      <name val="Calibri"/>
      <family val="2"/>
    </font>
  </fonts>
  <fills count="8">
    <fill>
      <patternFill patternType="none"/>
    </fill>
    <fill>
      <patternFill patternType="gray125"/>
    </fill>
    <fill>
      <patternFill patternType="solid">
        <fgColor rgb="FF17365D"/>
      </patternFill>
    </fill>
    <fill>
      <patternFill patternType="solid">
        <fgColor rgb="FF1F4E78"/>
      </patternFill>
    </fill>
    <fill>
      <patternFill patternType="solid">
        <fgColor rgb="FFDDEBF7"/>
      </patternFill>
    </fill>
    <fill>
      <patternFill patternType="solid">
        <fgColor rgb="FFFCE4D6"/>
      </patternFill>
    </fill>
    <fill>
      <patternFill patternType="solid">
        <fgColor rgb="FFE4DFEC"/>
      </patternFill>
    </fill>
    <fill>
      <patternFill patternType="solid">
        <fgColor rgb="FFE2F0D9"/>
      </patternFill>
    </fill>
  </fills>
  <borders count="2">
    <border>
      <left/>
      <right/>
      <top/>
      <bottom/>
      <diagonal/>
    </border>
    <border>
      <left/>
      <right/>
      <top/>
      <bottom style="thin">
        <color rgb="FFD9E1F2"/>
      </bottom>
      <diagonal/>
    </border>
  </borders>
  <cellStyleXfs count="1">
    <xf numFmtId="0" fontId="0" fillId="0" borderId="0"/>
  </cellStyleXfs>
  <cellXfs count="53">
    <xf numFmtId="0" fontId="0" fillId="0" borderId="0" xfId="0"/>
    <xf numFmtId="0" fontId="4" fillId="0" borderId="0" xfId="0" applyFont="1"/>
    <xf numFmtId="0" fontId="0" fillId="0" borderId="0" xfId="0" applyAlignment="1">
      <alignment vertical="top" wrapText="1"/>
    </xf>
    <xf numFmtId="0" fontId="4" fillId="4" borderId="0" xfId="0" applyFont="1" applyFill="1"/>
    <xf numFmtId="0" fontId="4" fillId="5" borderId="0" xfId="0" applyFont="1" applyFill="1"/>
    <xf numFmtId="0" fontId="0" fillId="5" borderId="0" xfId="0" applyFill="1" applyAlignment="1">
      <alignment vertical="top" wrapText="1"/>
    </xf>
    <xf numFmtId="0" fontId="4" fillId="6" borderId="0" xfId="0" applyFont="1" applyFill="1"/>
    <xf numFmtId="0" fontId="0" fillId="6" borderId="0" xfId="0" applyFill="1" applyAlignment="1">
      <alignment vertical="top" wrapText="1"/>
    </xf>
    <xf numFmtId="0" fontId="4" fillId="7" borderId="0" xfId="0" applyFont="1" applyFill="1"/>
    <xf numFmtId="0" fontId="3" fillId="3" borderId="1" xfId="0" applyFont="1" applyFill="1" applyBorder="1" applyAlignment="1">
      <alignment horizontal="center" vertical="center" wrapText="1"/>
    </xf>
    <xf numFmtId="0" fontId="7"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7" fillId="4" borderId="1" xfId="0" applyFont="1" applyFill="1" applyBorder="1" applyAlignment="1">
      <alignment vertical="top" wrapText="1"/>
    </xf>
    <xf numFmtId="0" fontId="7" fillId="7" borderId="1" xfId="0" applyFont="1" applyFill="1" applyBorder="1" applyAlignment="1">
      <alignment vertical="top" wrapText="1"/>
    </xf>
    <xf numFmtId="0" fontId="7" fillId="6" borderId="1" xfId="0" applyFont="1" applyFill="1" applyBorder="1" applyAlignment="1">
      <alignment vertical="top" wrapText="1"/>
    </xf>
    <xf numFmtId="0" fontId="10" fillId="0" borderId="1" xfId="0" applyFont="1" applyBorder="1" applyAlignment="1">
      <alignment vertical="top" wrapText="1"/>
    </xf>
    <xf numFmtId="0" fontId="7" fillId="5" borderId="1" xfId="0" applyFont="1" applyFill="1" applyBorder="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7" fillId="4" borderId="0" xfId="0" applyFont="1" applyFill="1" applyAlignment="1">
      <alignment vertical="top" wrapText="1"/>
    </xf>
    <xf numFmtId="0" fontId="7" fillId="7" borderId="0" xfId="0" applyFont="1" applyFill="1" applyAlignment="1">
      <alignment vertical="top" wrapText="1"/>
    </xf>
    <xf numFmtId="0" fontId="7" fillId="6" borderId="0" xfId="0" applyFont="1" applyFill="1" applyAlignment="1">
      <alignment vertical="top" wrapText="1"/>
    </xf>
    <xf numFmtId="0" fontId="10" fillId="0" borderId="0" xfId="0" applyFont="1" applyAlignment="1">
      <alignment vertical="top" wrapText="1"/>
    </xf>
    <xf numFmtId="0" fontId="3" fillId="3" borderId="1" xfId="0" applyFont="1" applyFill="1" applyBorder="1" applyAlignment="1">
      <alignment horizontal="center" wrapText="1"/>
    </xf>
    <xf numFmtId="0" fontId="0" fillId="0" borderId="1" xfId="0" applyBorder="1" applyAlignment="1">
      <alignment vertical="top" wrapText="1"/>
    </xf>
    <xf numFmtId="0" fontId="5" fillId="0" borderId="1" xfId="0" applyFont="1" applyBorder="1" applyAlignment="1">
      <alignment vertical="top" wrapText="1"/>
    </xf>
    <xf numFmtId="0" fontId="5" fillId="0" borderId="0" xfId="0" applyFont="1" applyAlignment="1">
      <alignment vertical="top" wrapText="1"/>
    </xf>
    <xf numFmtId="0" fontId="3" fillId="3" borderId="1" xfId="0" applyFont="1" applyFill="1" applyBorder="1" applyAlignment="1">
      <alignment horizontal="center"/>
    </xf>
    <xf numFmtId="0" fontId="11" fillId="0" borderId="1" xfId="0" applyFont="1" applyBorder="1"/>
    <xf numFmtId="0" fontId="12" fillId="0" borderId="1" xfId="0" applyFont="1" applyBorder="1" applyAlignment="1">
      <alignment horizontal="center"/>
    </xf>
    <xf numFmtId="0" fontId="11" fillId="0" borderId="0" xfId="0" applyFont="1"/>
    <xf numFmtId="0" fontId="12" fillId="0" borderId="0" xfId="0" applyFont="1" applyAlignment="1">
      <alignment horizontal="center"/>
    </xf>
    <xf numFmtId="0" fontId="13" fillId="0" borderId="0" xfId="0" applyFont="1"/>
    <xf numFmtId="164" fontId="7" fillId="0" borderId="1" xfId="0" applyNumberFormat="1" applyFont="1" applyBorder="1" applyAlignment="1">
      <alignment vertical="top" wrapText="1"/>
    </xf>
    <xf numFmtId="0" fontId="6" fillId="2" borderId="1" xfId="0" applyFont="1" applyFill="1" applyBorder="1" applyAlignment="1">
      <alignment vertical="center"/>
    </xf>
    <xf numFmtId="0" fontId="0" fillId="0" borderId="0" xfId="0"/>
    <xf numFmtId="0" fontId="5" fillId="0" borderId="0" xfId="0" applyFont="1"/>
    <xf numFmtId="0" fontId="0" fillId="0" borderId="0" xfId="0" applyAlignment="1">
      <alignment vertical="top" wrapText="1"/>
    </xf>
    <xf numFmtId="0" fontId="1" fillId="2" borderId="0" xfId="0" applyFont="1" applyFill="1" applyAlignment="1">
      <alignment horizontal="left" vertical="center"/>
    </xf>
    <xf numFmtId="0" fontId="3" fillId="3" borderId="0" xfId="0" applyFont="1" applyFill="1" applyAlignment="1">
      <alignment vertical="center"/>
    </xf>
    <xf numFmtId="0" fontId="0" fillId="5" borderId="0" xfId="0" applyFill="1" applyAlignment="1">
      <alignment vertical="top" wrapText="1"/>
    </xf>
    <xf numFmtId="0" fontId="0" fillId="5" borderId="0" xfId="0" applyFill="1"/>
    <xf numFmtId="0" fontId="0" fillId="7" borderId="0" xfId="0" applyFill="1" applyAlignment="1">
      <alignment vertical="top" wrapText="1"/>
    </xf>
    <xf numFmtId="0" fontId="0" fillId="7" borderId="0" xfId="0" applyFill="1"/>
    <xf numFmtId="0" fontId="2" fillId="0" borderId="0" xfId="0" applyFont="1" applyAlignment="1">
      <alignment vertical="center"/>
    </xf>
    <xf numFmtId="0" fontId="0" fillId="6" borderId="0" xfId="0" applyFill="1" applyAlignment="1">
      <alignment vertical="top" wrapText="1"/>
    </xf>
    <xf numFmtId="0" fontId="0" fillId="6" borderId="0" xfId="0" applyFill="1"/>
    <xf numFmtId="0" fontId="0" fillId="4" borderId="0" xfId="0" applyFill="1" applyAlignment="1">
      <alignment vertical="top" wrapText="1"/>
    </xf>
    <xf numFmtId="0" fontId="0" fillId="4" borderId="0" xfId="0" applyFill="1"/>
    <xf numFmtId="0" fontId="6" fillId="2" borderId="1" xfId="0" applyFont="1" applyFill="1" applyBorder="1"/>
    <xf numFmtId="0" fontId="2" fillId="0" borderId="1" xfId="0" applyFont="1" applyBorder="1" applyAlignment="1">
      <alignment wrapText="1"/>
    </xf>
  </cellXfs>
  <cellStyles count="1">
    <cellStyle name="Normal" xfId="0" builtinId="0"/>
  </cellStyles>
  <dxfs count="4">
    <dxf>
      <fill>
        <patternFill patternType="solid">
          <fgColor rgb="FFF4CCCC"/>
        </patternFill>
      </fill>
    </dxf>
    <dxf>
      <fill>
        <patternFill patternType="solid">
          <fgColor rgb="FFE2F0D9"/>
        </patternFill>
      </fill>
    </dxf>
    <dxf>
      <fill>
        <patternFill patternType="solid">
          <fgColor rgb="FFFFF2CC"/>
        </patternFill>
      </fill>
    </dxf>
    <dxf>
      <fill>
        <patternFill patternType="solid">
          <f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rt.deloitte.com/USDART/home/codification/revenue/asc606-10/roadmap-revenue-recognition" TargetMode="External"/><Relationship Id="rId2" Type="http://schemas.openxmlformats.org/officeDocument/2006/relationships/hyperlink" Target="https://asc.fasb.org/" TargetMode="External"/><Relationship Id="rId1" Type="http://schemas.openxmlformats.org/officeDocument/2006/relationships/hyperlink" Target="https://www.fasb.org/standards" TargetMode="External"/><Relationship Id="rId5" Type="http://schemas.openxmlformats.org/officeDocument/2006/relationships/hyperlink" Target="https://www.ey.com/en_us/technical/accountinglink/financial-reporting-developments---revenue-from-contracts-with-c" TargetMode="External"/><Relationship Id="rId4" Type="http://schemas.openxmlformats.org/officeDocument/2006/relationships/hyperlink" Target="https://dart.deloitte.com/USDART/home/publications/deloitte/industry/technology/technology-accounting-guide"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dart.deloitte.com/USDART/home/codification/revenue/asc606-10/roadmap-revenue-recognition/chapter-5-step-2-identify-performance/5-6-nonrefundable-up-front-fees" TargetMode="External"/><Relationship Id="rId13" Type="http://schemas.openxmlformats.org/officeDocument/2006/relationships/hyperlink" Target="https://dart.deloitte.com/USDART/home/codification/revenue/asc606-10/roadmap-revenue-recognition/chapter-6-step-3-determine-transaction/6-5-noncash-consideration" TargetMode="External"/><Relationship Id="rId18" Type="http://schemas.openxmlformats.org/officeDocument/2006/relationships/hyperlink" Target="https://dart.deloitte.com/USDART/home/codification/revenue/asc606-10/roadmap-revenue-recognition/chapter-7-step-4-allocate-transaction/7-5-allocation-variable-consideration" TargetMode="External"/><Relationship Id="rId26" Type="http://schemas.openxmlformats.org/officeDocument/2006/relationships/hyperlink" Target="https://dart.deloitte.com/USDART/home/codification/revenue/asc606-10/roadmap-revenue-recognition/chapter-12-licensing" TargetMode="External"/><Relationship Id="rId3" Type="http://schemas.openxmlformats.org/officeDocument/2006/relationships/hyperlink" Target="https://dart.deloitte.com/USDART/home/codification/revenue/asc606-10/roadmap-revenue-recognition" TargetMode="External"/><Relationship Id="rId21" Type="http://schemas.openxmlformats.org/officeDocument/2006/relationships/hyperlink" Target="https://dart.deloitte.com/USDART/home/codification/revenue/asc606-10/roadmap-revenue-recognition/chapter-8-step-5-determine-when/8-5-measuring-progress-for-revenue" TargetMode="External"/><Relationship Id="rId7" Type="http://schemas.openxmlformats.org/officeDocument/2006/relationships/hyperlink" Target="https://dart.deloitte.com/USDART/home/codification/revenue/asc606-10/roadmap-revenue-recognition/chapter-5-step-2-identify-performance/5-4-defining-nature-promise" TargetMode="External"/><Relationship Id="rId12" Type="http://schemas.openxmlformats.org/officeDocument/2006/relationships/hyperlink" Target="https://dart.deloitte.com/USDART/home/codification/revenue/asc606-10/roadmap-revenue-recognition/chapter-6-step-3-determine-transaction/6-4-significant-financing-component" TargetMode="External"/><Relationship Id="rId17" Type="http://schemas.openxmlformats.org/officeDocument/2006/relationships/hyperlink" Target="https://dart.deloitte.com/USDART/home/codification/revenue/asc606-10/roadmap-revenue-recognition/chapter-7-step-4-allocate-transaction/7-4-allocation-a-discount" TargetMode="External"/><Relationship Id="rId25" Type="http://schemas.openxmlformats.org/officeDocument/2006/relationships/hyperlink" Target="https://dart.deloitte.com/USDART/home/codification/revenue/asc606-10/roadmap-revenue-recognition/chapter-11-customer-options-for-additional" TargetMode="External"/><Relationship Id="rId2" Type="http://schemas.openxmlformats.org/officeDocument/2006/relationships/hyperlink" Target="https://asc.fasb.org/" TargetMode="External"/><Relationship Id="rId16" Type="http://schemas.openxmlformats.org/officeDocument/2006/relationships/hyperlink" Target="https://dart.deloitte.com/USDART/home/codification/revenue/asc606-10/roadmap-revenue-recognition/chapter-7-step-4-allocate-transaction/7-3-determine-stand-alone-selling" TargetMode="External"/><Relationship Id="rId20" Type="http://schemas.openxmlformats.org/officeDocument/2006/relationships/hyperlink" Target="https://dart.deloitte.com/USDART/home/codification/revenue/asc606-10/roadmap-revenue-recognition/chapter-8-step-5-determine-when/8-4-revenue-recognized-over-time" TargetMode="External"/><Relationship Id="rId29" Type="http://schemas.openxmlformats.org/officeDocument/2006/relationships/hyperlink" Target="https://dart.deloitte.com/USDART/home/publications/deloitte/industry/technology/technology-accounting-guide" TargetMode="External"/><Relationship Id="rId1" Type="http://schemas.openxmlformats.org/officeDocument/2006/relationships/hyperlink" Target="https://www.fasb.org/standards" TargetMode="External"/><Relationship Id="rId6" Type="http://schemas.openxmlformats.org/officeDocument/2006/relationships/hyperlink" Target="https://dart.deloitte.com/USDART/home/codification/revenue/asc606-10/roadmap-revenue-recognition/chapter-5-step-2-identify-performance/5-3-identifying-performance-obligations-in" TargetMode="External"/><Relationship Id="rId11" Type="http://schemas.openxmlformats.org/officeDocument/2006/relationships/hyperlink" Target="https://dart.deloitte.com/USDART/home/codification/revenue/asc606-10/roadmap-revenue-recognition/chapter-6-step-3-determine-transaction/6-3-variable-consideration" TargetMode="External"/><Relationship Id="rId24" Type="http://schemas.openxmlformats.org/officeDocument/2006/relationships/hyperlink" Target="https://dart.deloitte.com/USDART/home/codification/revenue/asc606-10/roadmap-revenue-recognition/chapter-10-principal-versus-agent-considerations" TargetMode="External"/><Relationship Id="rId32" Type="http://schemas.openxmlformats.org/officeDocument/2006/relationships/hyperlink" Target="https://www.ey.com/en_us/technical/accountinglink/financial-reporting-developments---revenue-from-contracts-with-c" TargetMode="External"/><Relationship Id="rId5" Type="http://schemas.openxmlformats.org/officeDocument/2006/relationships/hyperlink" Target="https://dart.deloitte.com/USDART/home/codification/revenue/asc606-10/roadmap-revenue-recognition/chapter-5-step-2-identify-performance/5-2-promises-in-contracts-with" TargetMode="External"/><Relationship Id="rId15" Type="http://schemas.openxmlformats.org/officeDocument/2006/relationships/hyperlink" Target="https://dart.deloitte.com/USDART/home/codification/revenue/asc606-10/roadmap-revenue-recognition/chapter-7-step-4-allocate-transaction" TargetMode="External"/><Relationship Id="rId23" Type="http://schemas.openxmlformats.org/officeDocument/2006/relationships/hyperlink" Target="https://dart.deloitte.com/USDART/home/codification/revenue/asc606-10/roadmap-revenue-recognition/chapter-9-contract-modifications/9-2-types-contract-modifications" TargetMode="External"/><Relationship Id="rId28" Type="http://schemas.openxmlformats.org/officeDocument/2006/relationships/hyperlink" Target="https://dart.deloitte.com/USDART/home/codification/revenue/asc606-10/roadmap-revenue-recognition/chapter-14-presentation/14-1-overview" TargetMode="External"/><Relationship Id="rId10" Type="http://schemas.openxmlformats.org/officeDocument/2006/relationships/hyperlink" Target="https://dart.deloitte.com/USDART/home/codification/revenue/asc606-10/roadmap-revenue-recognition/chapter-6-step-3-determine-transaction" TargetMode="External"/><Relationship Id="rId19" Type="http://schemas.openxmlformats.org/officeDocument/2006/relationships/hyperlink" Target="https://dart.deloitte.com/USDART/home/codification/revenue/asc606-10/roadmap-revenue-recognition/chapter-7-step-4-allocate-transaction/7-6-changes-in-transaction-price" TargetMode="External"/><Relationship Id="rId31" Type="http://schemas.openxmlformats.org/officeDocument/2006/relationships/hyperlink" Target="https://dart.deloitte.com/USDART/home/publications/deloitte/industry/technology/accounting-outcome-based-pricing-agentic-ai" TargetMode="External"/><Relationship Id="rId4" Type="http://schemas.openxmlformats.org/officeDocument/2006/relationships/hyperlink" Target="https://dart.deloitte.com/USDART/home/codification/revenue/asc606-10/roadmap-revenue-recognition/chapter-4-step-1-identify-contract" TargetMode="External"/><Relationship Id="rId9" Type="http://schemas.openxmlformats.org/officeDocument/2006/relationships/hyperlink" Target="https://dart.deloitte.com/USDART/home/publications/deloitte/industry/technology/technology-alerts-applying-revenue-standard/implementation-services-cloud-based-hosted-software" TargetMode="External"/><Relationship Id="rId14" Type="http://schemas.openxmlformats.org/officeDocument/2006/relationships/hyperlink" Target="https://dart.deloitte.com/USDART/home/codification/revenue/asc606-10/roadmap-revenue-recognition/chapter-6-step-3-determine-transaction/6-6-consideration-payable-a-customer" TargetMode="External"/><Relationship Id="rId22" Type="http://schemas.openxmlformats.org/officeDocument/2006/relationships/hyperlink" Target="https://dart.deloitte.com/USDART/home/codification/revenue/asc606-10/roadmap-revenue-recognition/chapter-8-step-5-determine-when/8-6-revenue-recognized-a-point" TargetMode="External"/><Relationship Id="rId27" Type="http://schemas.openxmlformats.org/officeDocument/2006/relationships/hyperlink" Target="https://dart.deloitte.com/USDART/home/codification/revenue/asc606-10/roadmap-revenue-recognition/chapter-13-contract-costs" TargetMode="External"/><Relationship Id="rId30" Type="http://schemas.openxmlformats.org/officeDocument/2006/relationships/hyperlink" Target="https://dart.deloitte.com/USDART/home/publications/deloitte/industry/technology/technology-alerts-applying-revenue-stand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3"/>
  <sheetViews>
    <sheetView showGridLines="0" workbookViewId="0">
      <pane ySplit="3" topLeftCell="A4" activePane="bottomLeft" state="frozen"/>
      <selection pane="bottomLeft" activeCell="B26" sqref="B26:H26"/>
    </sheetView>
  </sheetViews>
  <sheetFormatPr defaultRowHeight="15" x14ac:dyDescent="0.25"/>
  <cols>
    <col min="1" max="1" width="28" customWidth="1"/>
    <col min="2" max="2" width="24" customWidth="1"/>
    <col min="3" max="8" width="18" customWidth="1"/>
  </cols>
  <sheetData>
    <row r="1" spans="1:8" ht="30" customHeight="1" x14ac:dyDescent="0.25">
      <c r="A1" s="40" t="s">
        <v>0</v>
      </c>
      <c r="B1" s="37"/>
      <c r="C1" s="37"/>
      <c r="D1" s="37"/>
      <c r="E1" s="37"/>
      <c r="F1" s="37"/>
      <c r="G1" s="37"/>
      <c r="H1" s="37"/>
    </row>
    <row r="2" spans="1:8" x14ac:dyDescent="0.25">
      <c r="A2" s="46" t="s">
        <v>1</v>
      </c>
      <c r="B2" s="37"/>
      <c r="C2" s="37"/>
      <c r="D2" s="37"/>
      <c r="E2" s="37"/>
      <c r="F2" s="37"/>
      <c r="G2" s="37"/>
      <c r="H2" s="37"/>
    </row>
    <row r="4" spans="1:8" ht="21.95" customHeight="1" x14ac:dyDescent="0.25">
      <c r="A4" s="41" t="s">
        <v>2</v>
      </c>
      <c r="B4" s="37"/>
      <c r="C4" s="37"/>
      <c r="D4" s="37"/>
      <c r="E4" s="37"/>
      <c r="F4" s="37"/>
      <c r="G4" s="37"/>
      <c r="H4" s="37"/>
    </row>
    <row r="5" spans="1:8" ht="48" customHeight="1" x14ac:dyDescent="0.25">
      <c r="A5" s="1" t="s">
        <v>3</v>
      </c>
      <c r="B5" s="39" t="s">
        <v>4</v>
      </c>
      <c r="C5" s="37"/>
      <c r="D5" s="37"/>
      <c r="E5" s="37"/>
      <c r="F5" s="37"/>
      <c r="G5" s="37"/>
      <c r="H5" s="37"/>
    </row>
    <row r="6" spans="1:8" ht="32.1" customHeight="1" x14ac:dyDescent="0.25">
      <c r="A6" s="3" t="s">
        <v>5</v>
      </c>
      <c r="B6" s="49" t="s">
        <v>6</v>
      </c>
      <c r="C6" s="50"/>
      <c r="D6" s="50"/>
      <c r="E6" s="50"/>
      <c r="F6" s="50"/>
      <c r="G6" s="50"/>
      <c r="H6" s="50"/>
    </row>
    <row r="7" spans="1:8" ht="32.1" customHeight="1" x14ac:dyDescent="0.25">
      <c r="A7" s="4" t="s">
        <v>7</v>
      </c>
      <c r="B7" s="42" t="s">
        <v>8</v>
      </c>
      <c r="C7" s="43"/>
      <c r="D7" s="43"/>
      <c r="E7" s="43"/>
      <c r="F7" s="43"/>
      <c r="G7" s="43"/>
      <c r="H7" s="43"/>
    </row>
    <row r="9" spans="1:8" ht="21.95" customHeight="1" x14ac:dyDescent="0.25">
      <c r="A9" s="41" t="s">
        <v>9</v>
      </c>
      <c r="B9" s="37"/>
      <c r="C9" s="37"/>
      <c r="D9" s="37"/>
      <c r="E9" s="37"/>
      <c r="F9" s="37"/>
      <c r="G9" s="37"/>
      <c r="H9" s="37"/>
    </row>
    <row r="10" spans="1:8" ht="32.1" customHeight="1" x14ac:dyDescent="0.25">
      <c r="A10" s="1" t="s">
        <v>10</v>
      </c>
      <c r="B10" s="39" t="s">
        <v>11</v>
      </c>
      <c r="C10" s="37"/>
      <c r="D10" s="37"/>
      <c r="E10" s="37"/>
      <c r="F10" s="37"/>
      <c r="G10" s="37"/>
      <c r="H10" s="37"/>
    </row>
    <row r="11" spans="1:8" ht="32.1" customHeight="1" x14ac:dyDescent="0.25">
      <c r="A11" s="1" t="s">
        <v>12</v>
      </c>
      <c r="B11" s="39" t="s">
        <v>13</v>
      </c>
      <c r="C11" s="37"/>
      <c r="D11" s="37"/>
      <c r="E11" s="37"/>
      <c r="F11" s="37"/>
      <c r="G11" s="37"/>
      <c r="H11" s="37"/>
    </row>
    <row r="12" spans="1:8" ht="32.1" customHeight="1" x14ac:dyDescent="0.25">
      <c r="A12" s="6" t="s">
        <v>14</v>
      </c>
      <c r="B12" s="47" t="s">
        <v>15</v>
      </c>
      <c r="C12" s="48"/>
      <c r="D12" s="48"/>
      <c r="E12" s="48"/>
      <c r="F12" s="48"/>
      <c r="G12" s="48"/>
      <c r="H12" s="48"/>
    </row>
    <row r="14" spans="1:8" ht="21.95" customHeight="1" x14ac:dyDescent="0.25">
      <c r="A14" s="41" t="s">
        <v>16</v>
      </c>
      <c r="B14" s="37"/>
      <c r="C14" s="37"/>
      <c r="D14" s="37"/>
      <c r="E14" s="37"/>
      <c r="F14" s="37"/>
      <c r="G14" s="37"/>
      <c r="H14" s="37"/>
    </row>
    <row r="15" spans="1:8" ht="32.1" customHeight="1" x14ac:dyDescent="0.25">
      <c r="A15" s="1" t="s">
        <v>17</v>
      </c>
      <c r="B15" s="39" t="s">
        <v>18</v>
      </c>
      <c r="C15" s="37"/>
      <c r="D15" s="37"/>
      <c r="E15" s="37"/>
      <c r="F15" s="37"/>
      <c r="G15" s="37"/>
      <c r="H15" s="37"/>
    </row>
    <row r="16" spans="1:8" ht="32.1" customHeight="1" x14ac:dyDescent="0.25">
      <c r="A16" s="1" t="s">
        <v>19</v>
      </c>
      <c r="B16" s="39" t="s">
        <v>20</v>
      </c>
      <c r="C16" s="37"/>
      <c r="D16" s="37"/>
      <c r="E16" s="37"/>
      <c r="F16" s="37"/>
      <c r="G16" s="37"/>
      <c r="H16" s="37"/>
    </row>
    <row r="17" spans="1:8" ht="32.1" customHeight="1" x14ac:dyDescent="0.25">
      <c r="A17" s="1" t="s">
        <v>21</v>
      </c>
      <c r="B17" s="39" t="s">
        <v>22</v>
      </c>
      <c r="C17" s="37"/>
      <c r="D17" s="37"/>
      <c r="E17" s="37"/>
      <c r="F17" s="37"/>
      <c r="G17" s="37"/>
      <c r="H17" s="37"/>
    </row>
    <row r="18" spans="1:8" ht="32.1" customHeight="1" x14ac:dyDescent="0.25">
      <c r="A18" s="1" t="s">
        <v>23</v>
      </c>
      <c r="B18" s="39" t="s">
        <v>24</v>
      </c>
      <c r="C18" s="37"/>
      <c r="D18" s="37"/>
      <c r="E18" s="37"/>
      <c r="F18" s="37"/>
      <c r="G18" s="37"/>
      <c r="H18" s="37"/>
    </row>
    <row r="19" spans="1:8" ht="32.1" customHeight="1" x14ac:dyDescent="0.25">
      <c r="A19" s="1" t="s">
        <v>25</v>
      </c>
      <c r="B19" s="39" t="s">
        <v>26</v>
      </c>
      <c r="C19" s="37"/>
      <c r="D19" s="37"/>
      <c r="E19" s="37"/>
      <c r="F19" s="37"/>
      <c r="G19" s="37"/>
      <c r="H19" s="37"/>
    </row>
    <row r="21" spans="1:8" ht="21.95" customHeight="1" x14ac:dyDescent="0.25">
      <c r="A21" s="41" t="s">
        <v>27</v>
      </c>
      <c r="B21" s="37"/>
      <c r="C21" s="37"/>
      <c r="D21" s="37"/>
      <c r="E21" s="37"/>
      <c r="F21" s="37"/>
      <c r="G21" s="37"/>
      <c r="H21" s="37"/>
    </row>
    <row r="22" spans="1:8" ht="32.1" customHeight="1" x14ac:dyDescent="0.25">
      <c r="A22" s="8" t="s">
        <v>28</v>
      </c>
      <c r="B22" s="44" t="s">
        <v>29</v>
      </c>
      <c r="C22" s="45"/>
      <c r="D22" s="45"/>
      <c r="E22" s="45"/>
      <c r="F22" s="45"/>
      <c r="G22" s="45"/>
      <c r="H22" s="45"/>
    </row>
    <row r="23" spans="1:8" ht="32.1" customHeight="1" x14ac:dyDescent="0.25">
      <c r="A23" s="4" t="s">
        <v>30</v>
      </c>
      <c r="B23" s="42" t="s">
        <v>31</v>
      </c>
      <c r="C23" s="43"/>
      <c r="D23" s="43"/>
      <c r="E23" s="43"/>
      <c r="F23" s="43"/>
      <c r="G23" s="43"/>
      <c r="H23" s="43"/>
    </row>
    <row r="25" spans="1:8" ht="21.95" customHeight="1" x14ac:dyDescent="0.25">
      <c r="A25" s="41" t="s">
        <v>32</v>
      </c>
      <c r="B25" s="37"/>
      <c r="C25" s="37"/>
      <c r="D25" s="37"/>
      <c r="E25" s="37"/>
      <c r="F25" s="37"/>
      <c r="G25" s="37"/>
      <c r="H25" s="37"/>
    </row>
    <row r="26" spans="1:8" ht="120" customHeight="1" x14ac:dyDescent="0.25">
      <c r="A26" s="1" t="s">
        <v>33</v>
      </c>
      <c r="B26" s="39" t="s">
        <v>34</v>
      </c>
      <c r="C26" s="37"/>
      <c r="D26" s="37"/>
      <c r="E26" s="37"/>
      <c r="F26" s="37"/>
      <c r="G26" s="37"/>
      <c r="H26" s="37"/>
    </row>
    <row r="28" spans="1:8" ht="21.95" customHeight="1" x14ac:dyDescent="0.25">
      <c r="A28" s="41" t="s">
        <v>35</v>
      </c>
      <c r="B28" s="37"/>
      <c r="C28" s="37"/>
      <c r="D28" s="37"/>
      <c r="E28" s="37"/>
      <c r="F28" s="37"/>
      <c r="G28" s="37"/>
      <c r="H28" s="37"/>
    </row>
    <row r="29" spans="1:8" x14ac:dyDescent="0.25">
      <c r="A29" s="1" t="s">
        <v>36</v>
      </c>
      <c r="B29" s="38" t="s">
        <v>37</v>
      </c>
      <c r="C29" s="37"/>
      <c r="D29" s="37"/>
      <c r="E29" s="37"/>
      <c r="F29" s="37"/>
      <c r="G29" s="37"/>
      <c r="H29" s="37"/>
    </row>
    <row r="30" spans="1:8" x14ac:dyDescent="0.25">
      <c r="A30" s="1" t="s">
        <v>38</v>
      </c>
      <c r="B30" s="38" t="s">
        <v>39</v>
      </c>
      <c r="C30" s="37"/>
      <c r="D30" s="37"/>
      <c r="E30" s="37"/>
      <c r="F30" s="37"/>
      <c r="G30" s="37"/>
      <c r="H30" s="37"/>
    </row>
    <row r="31" spans="1:8" x14ac:dyDescent="0.25">
      <c r="A31" s="1" t="s">
        <v>40</v>
      </c>
      <c r="B31" s="38" t="s">
        <v>41</v>
      </c>
      <c r="C31" s="37"/>
      <c r="D31" s="37"/>
      <c r="E31" s="37"/>
      <c r="F31" s="37"/>
      <c r="G31" s="37"/>
      <c r="H31" s="37"/>
    </row>
    <row r="32" spans="1:8" x14ac:dyDescent="0.25">
      <c r="A32" s="1" t="s">
        <v>42</v>
      </c>
      <c r="B32" s="38" t="s">
        <v>43</v>
      </c>
      <c r="C32" s="37"/>
      <c r="D32" s="37"/>
      <c r="E32" s="37"/>
      <c r="F32" s="37"/>
      <c r="G32" s="37"/>
      <c r="H32" s="37"/>
    </row>
    <row r="33" spans="1:8" x14ac:dyDescent="0.25">
      <c r="A33" s="1" t="s">
        <v>44</v>
      </c>
      <c r="B33" s="38" t="s">
        <v>45</v>
      </c>
      <c r="C33" s="37"/>
      <c r="D33" s="37"/>
      <c r="E33" s="37"/>
      <c r="F33" s="37"/>
      <c r="G33" s="37"/>
      <c r="H33" s="37"/>
    </row>
  </sheetData>
  <mergeCells count="27">
    <mergeCell ref="A28:H28"/>
    <mergeCell ref="B29:H29"/>
    <mergeCell ref="B10:H10"/>
    <mergeCell ref="B19:H19"/>
    <mergeCell ref="A9:H9"/>
    <mergeCell ref="A14:H14"/>
    <mergeCell ref="B11:H11"/>
    <mergeCell ref="B23:H23"/>
    <mergeCell ref="A4:H4"/>
    <mergeCell ref="B17:H17"/>
    <mergeCell ref="B6:H6"/>
    <mergeCell ref="B30:H30"/>
    <mergeCell ref="B15:H15"/>
    <mergeCell ref="B33:H33"/>
    <mergeCell ref="A1:H1"/>
    <mergeCell ref="B5:H5"/>
    <mergeCell ref="B32:H32"/>
    <mergeCell ref="B26:H26"/>
    <mergeCell ref="A25:H25"/>
    <mergeCell ref="B16:H16"/>
    <mergeCell ref="B7:H7"/>
    <mergeCell ref="B31:H31"/>
    <mergeCell ref="B22:H22"/>
    <mergeCell ref="A21:H21"/>
    <mergeCell ref="B18:H18"/>
    <mergeCell ref="A2:H2"/>
    <mergeCell ref="B12:H12"/>
  </mergeCells>
  <hyperlinks>
    <hyperlink ref="B29" r:id="rId1" xr:uid="{00000000-0004-0000-0000-000000000000}"/>
    <hyperlink ref="B30" r:id="rId2" xr:uid="{00000000-0004-0000-0000-000001000000}"/>
    <hyperlink ref="B31" r:id="rId3" xr:uid="{00000000-0004-0000-0000-000002000000}"/>
    <hyperlink ref="B32" r:id="rId4" xr:uid="{00000000-0004-0000-0000-000003000000}"/>
    <hyperlink ref="B33" r:id="rId5" xr:uid="{00000000-0004-0000-0000-000004000000}"/>
  </hyperlinks>
  <pageMargins left="0.25" right="0.25" top="0.5" bottom="0.5" header="0.5" footer="0.5"/>
  <pageSetup fitToHeigh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118"/>
  <sheetViews>
    <sheetView showGridLines="0" tabSelected="1" zoomScale="90" zoomScaleNormal="90" workbookViewId="0">
      <pane xSplit="5" ySplit="2" topLeftCell="M5" activePane="bottomRight" state="frozen"/>
      <selection pane="topRight"/>
      <selection pane="bottomLeft"/>
      <selection pane="bottomRight" activeCell="O6" sqref="O6"/>
    </sheetView>
  </sheetViews>
  <sheetFormatPr defaultRowHeight="15" x14ac:dyDescent="0.25"/>
  <cols>
    <col min="1" max="1" width="9" customWidth="1"/>
    <col min="2" max="2" width="18" customWidth="1"/>
    <col min="3" max="3" width="21.5703125" customWidth="1"/>
    <col min="4" max="4" width="14" customWidth="1"/>
    <col min="5" max="5" width="31" customWidth="1"/>
    <col min="6" max="6" width="46" customWidth="1"/>
    <col min="7" max="7" width="50" customWidth="1"/>
    <col min="8" max="8" width="46" customWidth="1"/>
    <col min="9" max="9" width="48" customWidth="1"/>
    <col min="10" max="10" width="36" customWidth="1"/>
    <col min="11" max="11" width="45" customWidth="1"/>
    <col min="12" max="12" width="42" customWidth="1"/>
    <col min="13" max="13" width="50" customWidth="1"/>
    <col min="14" max="14" width="34" customWidth="1"/>
    <col min="15" max="15" width="44" customWidth="1"/>
    <col min="16" max="16" width="36" customWidth="1"/>
    <col min="17" max="17" width="24" customWidth="1"/>
    <col min="18" max="18" width="16" customWidth="1"/>
  </cols>
  <sheetData>
    <row r="1" spans="1:18" ht="27.95" customHeight="1" x14ac:dyDescent="0.25">
      <c r="A1" s="36" t="s">
        <v>46</v>
      </c>
      <c r="B1" s="37"/>
      <c r="C1" s="37"/>
      <c r="D1" s="37"/>
      <c r="E1" s="37"/>
      <c r="F1" s="37"/>
      <c r="G1" s="37"/>
      <c r="H1" s="37"/>
      <c r="I1" s="37"/>
      <c r="J1" s="37"/>
      <c r="K1" s="37"/>
      <c r="L1" s="37"/>
      <c r="M1" s="37"/>
      <c r="N1" s="37"/>
      <c r="O1" s="37"/>
      <c r="P1" s="37"/>
      <c r="Q1" s="37"/>
      <c r="R1" s="37"/>
    </row>
    <row r="2" spans="1:18" ht="42" customHeight="1" x14ac:dyDescent="0.25">
      <c r="A2" s="9" t="s">
        <v>47</v>
      </c>
      <c r="B2" s="9" t="s">
        <v>48</v>
      </c>
      <c r="C2" s="9" t="s">
        <v>49</v>
      </c>
      <c r="D2" s="9" t="s">
        <v>50</v>
      </c>
      <c r="E2" s="9" t="s">
        <v>51</v>
      </c>
      <c r="F2" s="9" t="s">
        <v>52</v>
      </c>
      <c r="G2" s="9" t="s">
        <v>53</v>
      </c>
      <c r="H2" s="9" t="s">
        <v>19</v>
      </c>
      <c r="I2" s="9" t="s">
        <v>54</v>
      </c>
      <c r="J2" s="9" t="s">
        <v>55</v>
      </c>
      <c r="K2" s="9" t="s">
        <v>21</v>
      </c>
      <c r="L2" s="9" t="s">
        <v>23</v>
      </c>
      <c r="M2" s="9" t="s">
        <v>56</v>
      </c>
      <c r="N2" s="9" t="s">
        <v>57</v>
      </c>
      <c r="O2" s="9" t="s">
        <v>58</v>
      </c>
      <c r="P2" s="9" t="s">
        <v>59</v>
      </c>
      <c r="Q2" s="9" t="s">
        <v>60</v>
      </c>
      <c r="R2" s="9" t="s">
        <v>61</v>
      </c>
    </row>
    <row r="3" spans="1:18" ht="111.95" customHeight="1" x14ac:dyDescent="0.25">
      <c r="A3" s="10">
        <v>1</v>
      </c>
      <c r="B3" s="10" t="s">
        <v>62</v>
      </c>
      <c r="C3" s="10" t="s">
        <v>63</v>
      </c>
      <c r="D3" s="11" t="s">
        <v>64</v>
      </c>
      <c r="E3" s="12" t="s">
        <v>65</v>
      </c>
      <c r="F3" s="10" t="s">
        <v>66</v>
      </c>
      <c r="G3" s="10" t="s">
        <v>67</v>
      </c>
      <c r="H3" s="10" t="s">
        <v>68</v>
      </c>
      <c r="I3" s="10" t="s">
        <v>69</v>
      </c>
      <c r="J3" s="10" t="s">
        <v>70</v>
      </c>
      <c r="K3" s="13" t="s">
        <v>71</v>
      </c>
      <c r="L3" s="14" t="s">
        <v>72</v>
      </c>
      <c r="M3" s="15" t="s">
        <v>73</v>
      </c>
      <c r="N3" s="10" t="s">
        <v>74</v>
      </c>
      <c r="O3" s="16" t="s">
        <v>75</v>
      </c>
      <c r="P3" s="10" t="s">
        <v>76</v>
      </c>
      <c r="Q3" s="17" t="s">
        <v>1729</v>
      </c>
      <c r="R3" s="35">
        <v>46270</v>
      </c>
    </row>
    <row r="4" spans="1:18" ht="111.95" customHeight="1" x14ac:dyDescent="0.25">
      <c r="A4" s="10">
        <v>2</v>
      </c>
      <c r="B4" s="10" t="s">
        <v>62</v>
      </c>
      <c r="C4" s="10" t="s">
        <v>77</v>
      </c>
      <c r="D4" s="11" t="s">
        <v>78</v>
      </c>
      <c r="E4" s="12" t="s">
        <v>79</v>
      </c>
      <c r="F4" s="10" t="s">
        <v>80</v>
      </c>
      <c r="G4" s="10" t="s">
        <v>81</v>
      </c>
      <c r="H4" s="10" t="s">
        <v>82</v>
      </c>
      <c r="I4" s="10" t="s">
        <v>83</v>
      </c>
      <c r="J4" s="10" t="s">
        <v>84</v>
      </c>
      <c r="K4" s="13" t="s">
        <v>85</v>
      </c>
      <c r="L4" s="14" t="s">
        <v>86</v>
      </c>
      <c r="M4" s="15" t="s">
        <v>87</v>
      </c>
      <c r="N4" s="10" t="s">
        <v>88</v>
      </c>
      <c r="O4" s="16" t="s">
        <v>89</v>
      </c>
      <c r="P4" s="10" t="s">
        <v>90</v>
      </c>
      <c r="Q4" s="17" t="s">
        <v>1729</v>
      </c>
      <c r="R4" s="35">
        <v>46270</v>
      </c>
    </row>
    <row r="5" spans="1:18" ht="111.95" customHeight="1" x14ac:dyDescent="0.25">
      <c r="A5" s="18">
        <v>3</v>
      </c>
      <c r="B5" s="18" t="s">
        <v>62</v>
      </c>
      <c r="C5" s="18" t="s">
        <v>91</v>
      </c>
      <c r="D5" s="19" t="s">
        <v>92</v>
      </c>
      <c r="E5" s="20" t="s">
        <v>93</v>
      </c>
      <c r="F5" s="18" t="s">
        <v>94</v>
      </c>
      <c r="G5" s="18" t="s">
        <v>95</v>
      </c>
      <c r="H5" s="18" t="s">
        <v>96</v>
      </c>
      <c r="I5" s="18" t="s">
        <v>97</v>
      </c>
      <c r="J5" s="18" t="s">
        <v>98</v>
      </c>
      <c r="K5" s="21" t="s">
        <v>99</v>
      </c>
      <c r="L5" s="22" t="s">
        <v>100</v>
      </c>
      <c r="M5" s="23" t="s">
        <v>101</v>
      </c>
      <c r="N5" s="18" t="s">
        <v>102</v>
      </c>
      <c r="O5" s="24" t="s">
        <v>103</v>
      </c>
      <c r="P5" s="18" t="s">
        <v>104</v>
      </c>
      <c r="Q5" s="17" t="s">
        <v>1729</v>
      </c>
      <c r="R5" s="35">
        <v>46270</v>
      </c>
    </row>
    <row r="6" spans="1:18" ht="111.95" customHeight="1" x14ac:dyDescent="0.25">
      <c r="A6" s="18">
        <v>4</v>
      </c>
      <c r="B6" s="18" t="s">
        <v>62</v>
      </c>
      <c r="C6" s="18" t="s">
        <v>105</v>
      </c>
      <c r="D6" s="19" t="s">
        <v>106</v>
      </c>
      <c r="E6" s="20" t="s">
        <v>107</v>
      </c>
      <c r="F6" s="18" t="s">
        <v>108</v>
      </c>
      <c r="G6" s="18" t="s">
        <v>109</v>
      </c>
      <c r="H6" s="18" t="s">
        <v>110</v>
      </c>
      <c r="I6" s="18" t="s">
        <v>111</v>
      </c>
      <c r="J6" s="18" t="s">
        <v>112</v>
      </c>
      <c r="K6" s="21" t="s">
        <v>113</v>
      </c>
      <c r="L6" s="22" t="s">
        <v>114</v>
      </c>
      <c r="M6" s="23" t="s">
        <v>115</v>
      </c>
      <c r="N6" s="18" t="s">
        <v>102</v>
      </c>
      <c r="O6" s="24" t="s">
        <v>103</v>
      </c>
      <c r="P6" s="18" t="s">
        <v>116</v>
      </c>
      <c r="Q6" s="17" t="s">
        <v>1729</v>
      </c>
      <c r="R6" s="35">
        <v>46270</v>
      </c>
    </row>
    <row r="7" spans="1:18" ht="111.95" customHeight="1" x14ac:dyDescent="0.25">
      <c r="A7" s="18">
        <v>5</v>
      </c>
      <c r="B7" s="18" t="s">
        <v>62</v>
      </c>
      <c r="C7" s="18" t="s">
        <v>117</v>
      </c>
      <c r="D7" s="19" t="s">
        <v>118</v>
      </c>
      <c r="E7" s="20" t="s">
        <v>64</v>
      </c>
      <c r="F7" s="18" t="s">
        <v>119</v>
      </c>
      <c r="G7" s="18" t="s">
        <v>120</v>
      </c>
      <c r="H7" s="18" t="s">
        <v>121</v>
      </c>
      <c r="I7" s="18" t="s">
        <v>122</v>
      </c>
      <c r="J7" s="18" t="s">
        <v>123</v>
      </c>
      <c r="K7" s="21" t="s">
        <v>124</v>
      </c>
      <c r="L7" s="22" t="s">
        <v>125</v>
      </c>
      <c r="M7" s="23" t="s">
        <v>126</v>
      </c>
      <c r="N7" s="18" t="s">
        <v>127</v>
      </c>
      <c r="O7" s="24" t="s">
        <v>128</v>
      </c>
      <c r="P7" s="18" t="s">
        <v>129</v>
      </c>
      <c r="Q7" s="17" t="s">
        <v>1729</v>
      </c>
      <c r="R7" s="35">
        <v>46270</v>
      </c>
    </row>
    <row r="8" spans="1:18" ht="111.95" customHeight="1" x14ac:dyDescent="0.25">
      <c r="A8" s="18">
        <v>6</v>
      </c>
      <c r="B8" s="18" t="s">
        <v>62</v>
      </c>
      <c r="C8" s="18" t="s">
        <v>130</v>
      </c>
      <c r="D8" s="19" t="s">
        <v>131</v>
      </c>
      <c r="E8" s="20" t="s">
        <v>132</v>
      </c>
      <c r="F8" s="18" t="s">
        <v>133</v>
      </c>
      <c r="G8" s="18" t="s">
        <v>134</v>
      </c>
      <c r="H8" s="18" t="s">
        <v>135</v>
      </c>
      <c r="I8" s="18" t="s">
        <v>136</v>
      </c>
      <c r="J8" s="18" t="s">
        <v>137</v>
      </c>
      <c r="K8" s="21" t="s">
        <v>138</v>
      </c>
      <c r="L8" s="22" t="s">
        <v>139</v>
      </c>
      <c r="M8" s="23" t="s">
        <v>140</v>
      </c>
      <c r="N8" s="18" t="s">
        <v>127</v>
      </c>
      <c r="O8" s="24" t="s">
        <v>128</v>
      </c>
      <c r="P8" s="18" t="s">
        <v>141</v>
      </c>
      <c r="Q8" s="17" t="s">
        <v>1729</v>
      </c>
      <c r="R8" s="35">
        <v>46270</v>
      </c>
    </row>
    <row r="9" spans="1:18" ht="111.95" customHeight="1" x14ac:dyDescent="0.25">
      <c r="A9" s="18">
        <v>7</v>
      </c>
      <c r="B9" s="18" t="s">
        <v>62</v>
      </c>
      <c r="C9" s="18" t="s">
        <v>142</v>
      </c>
      <c r="D9" s="19" t="s">
        <v>143</v>
      </c>
      <c r="E9" s="20" t="s">
        <v>144</v>
      </c>
      <c r="F9" s="18" t="s">
        <v>145</v>
      </c>
      <c r="G9" s="18" t="s">
        <v>146</v>
      </c>
      <c r="H9" s="18" t="s">
        <v>147</v>
      </c>
      <c r="I9" s="18" t="s">
        <v>148</v>
      </c>
      <c r="J9" s="18" t="s">
        <v>149</v>
      </c>
      <c r="K9" s="21" t="s">
        <v>150</v>
      </c>
      <c r="L9" s="22" t="s">
        <v>151</v>
      </c>
      <c r="M9" s="23" t="s">
        <v>152</v>
      </c>
      <c r="N9" s="18" t="s">
        <v>153</v>
      </c>
      <c r="O9" s="24" t="s">
        <v>154</v>
      </c>
      <c r="P9" s="18" t="s">
        <v>155</v>
      </c>
      <c r="Q9" s="17" t="s">
        <v>1729</v>
      </c>
      <c r="R9" s="35">
        <v>46270</v>
      </c>
    </row>
    <row r="10" spans="1:18" ht="111.95" customHeight="1" x14ac:dyDescent="0.25">
      <c r="A10" s="18">
        <v>8</v>
      </c>
      <c r="B10" s="18" t="s">
        <v>62</v>
      </c>
      <c r="C10" s="18" t="s">
        <v>156</v>
      </c>
      <c r="D10" s="19" t="s">
        <v>157</v>
      </c>
      <c r="E10" s="20" t="s">
        <v>158</v>
      </c>
      <c r="F10" s="18" t="s">
        <v>159</v>
      </c>
      <c r="G10" s="18" t="s">
        <v>160</v>
      </c>
      <c r="H10" s="18" t="s">
        <v>161</v>
      </c>
      <c r="I10" s="18" t="s">
        <v>162</v>
      </c>
      <c r="J10" s="18" t="s">
        <v>163</v>
      </c>
      <c r="K10" s="21" t="s">
        <v>164</v>
      </c>
      <c r="L10" s="22" t="s">
        <v>165</v>
      </c>
      <c r="M10" s="23" t="s">
        <v>166</v>
      </c>
      <c r="N10" s="18" t="s">
        <v>153</v>
      </c>
      <c r="O10" s="24" t="s">
        <v>154</v>
      </c>
      <c r="P10" s="18" t="s">
        <v>167</v>
      </c>
      <c r="Q10" s="17" t="s">
        <v>1729</v>
      </c>
      <c r="R10" s="35">
        <v>46270</v>
      </c>
    </row>
    <row r="11" spans="1:18" ht="111.95" customHeight="1" x14ac:dyDescent="0.25">
      <c r="A11" s="18">
        <v>9</v>
      </c>
      <c r="B11" s="18" t="s">
        <v>62</v>
      </c>
      <c r="C11" s="18" t="s">
        <v>168</v>
      </c>
      <c r="D11" s="19" t="s">
        <v>169</v>
      </c>
      <c r="E11" s="20" t="s">
        <v>170</v>
      </c>
      <c r="F11" s="18" t="s">
        <v>171</v>
      </c>
      <c r="G11" s="18" t="s">
        <v>172</v>
      </c>
      <c r="H11" s="18" t="s">
        <v>173</v>
      </c>
      <c r="I11" s="18" t="s">
        <v>174</v>
      </c>
      <c r="J11" s="18" t="s">
        <v>175</v>
      </c>
      <c r="K11" s="21" t="s">
        <v>176</v>
      </c>
      <c r="L11" s="22" t="s">
        <v>177</v>
      </c>
      <c r="M11" s="23" t="s">
        <v>178</v>
      </c>
      <c r="N11" s="18" t="s">
        <v>179</v>
      </c>
      <c r="O11" s="24" t="s">
        <v>180</v>
      </c>
      <c r="P11" s="18" t="s">
        <v>181</v>
      </c>
      <c r="Q11" s="17" t="s">
        <v>1729</v>
      </c>
      <c r="R11" s="35">
        <v>46270</v>
      </c>
    </row>
    <row r="12" spans="1:18" ht="111.95" customHeight="1" x14ac:dyDescent="0.25">
      <c r="A12" s="18">
        <v>10</v>
      </c>
      <c r="B12" s="18" t="s">
        <v>62</v>
      </c>
      <c r="C12" s="18" t="s">
        <v>182</v>
      </c>
      <c r="D12" s="19" t="s">
        <v>183</v>
      </c>
      <c r="E12" s="20" t="s">
        <v>184</v>
      </c>
      <c r="F12" s="18" t="s">
        <v>185</v>
      </c>
      <c r="G12" s="18" t="s">
        <v>186</v>
      </c>
      <c r="H12" s="18" t="s">
        <v>187</v>
      </c>
      <c r="I12" s="18" t="s">
        <v>188</v>
      </c>
      <c r="J12" s="18" t="s">
        <v>189</v>
      </c>
      <c r="K12" s="21" t="s">
        <v>190</v>
      </c>
      <c r="L12" s="22" t="s">
        <v>191</v>
      </c>
      <c r="M12" s="23" t="s">
        <v>192</v>
      </c>
      <c r="N12" s="18" t="s">
        <v>193</v>
      </c>
      <c r="O12" s="24" t="s">
        <v>194</v>
      </c>
      <c r="P12" s="18" t="s">
        <v>195</v>
      </c>
      <c r="Q12" s="17" t="s">
        <v>1729</v>
      </c>
      <c r="R12" s="35">
        <v>46270</v>
      </c>
    </row>
    <row r="13" spans="1:18" ht="111.95" customHeight="1" x14ac:dyDescent="0.25">
      <c r="A13" s="18">
        <v>11</v>
      </c>
      <c r="B13" s="18" t="s">
        <v>196</v>
      </c>
      <c r="C13" s="18" t="s">
        <v>197</v>
      </c>
      <c r="D13" s="19" t="s">
        <v>198</v>
      </c>
      <c r="E13" s="20" t="s">
        <v>199</v>
      </c>
      <c r="F13" s="18" t="s">
        <v>200</v>
      </c>
      <c r="G13" s="18" t="s">
        <v>201</v>
      </c>
      <c r="H13" s="18" t="s">
        <v>202</v>
      </c>
      <c r="I13" s="18" t="s">
        <v>203</v>
      </c>
      <c r="J13" s="18" t="s">
        <v>204</v>
      </c>
      <c r="K13" s="21" t="s">
        <v>205</v>
      </c>
      <c r="L13" s="22" t="s">
        <v>206</v>
      </c>
      <c r="M13" s="23" t="s">
        <v>207</v>
      </c>
      <c r="N13" s="18" t="s">
        <v>208</v>
      </c>
      <c r="O13" s="24" t="s">
        <v>209</v>
      </c>
      <c r="P13" s="18" t="s">
        <v>210</v>
      </c>
      <c r="Q13" s="17" t="s">
        <v>1729</v>
      </c>
      <c r="R13" s="35">
        <v>46270</v>
      </c>
    </row>
    <row r="14" spans="1:18" ht="111.95" customHeight="1" x14ac:dyDescent="0.25">
      <c r="A14" s="18">
        <v>12</v>
      </c>
      <c r="B14" s="18" t="s">
        <v>196</v>
      </c>
      <c r="C14" s="18" t="s">
        <v>211</v>
      </c>
      <c r="D14" s="19" t="s">
        <v>212</v>
      </c>
      <c r="E14" s="20" t="s">
        <v>213</v>
      </c>
      <c r="F14" s="18" t="s">
        <v>214</v>
      </c>
      <c r="G14" s="18" t="s">
        <v>215</v>
      </c>
      <c r="H14" s="18" t="s">
        <v>216</v>
      </c>
      <c r="I14" s="18" t="s">
        <v>217</v>
      </c>
      <c r="J14" s="18" t="s">
        <v>218</v>
      </c>
      <c r="K14" s="21" t="s">
        <v>219</v>
      </c>
      <c r="L14" s="22" t="s">
        <v>220</v>
      </c>
      <c r="M14" s="23" t="s">
        <v>221</v>
      </c>
      <c r="N14" s="18" t="s">
        <v>208</v>
      </c>
      <c r="O14" s="24" t="s">
        <v>209</v>
      </c>
      <c r="P14" s="18" t="s">
        <v>222</v>
      </c>
      <c r="Q14" s="17" t="s">
        <v>1729</v>
      </c>
      <c r="R14" s="35">
        <v>46270</v>
      </c>
    </row>
    <row r="15" spans="1:18" ht="111.95" customHeight="1" x14ac:dyDescent="0.25">
      <c r="A15" s="18">
        <v>13</v>
      </c>
      <c r="B15" s="18" t="s">
        <v>196</v>
      </c>
      <c r="C15" s="18" t="s">
        <v>223</v>
      </c>
      <c r="D15" s="19" t="s">
        <v>224</v>
      </c>
      <c r="E15" s="20" t="s">
        <v>225</v>
      </c>
      <c r="F15" s="18" t="s">
        <v>226</v>
      </c>
      <c r="G15" s="18" t="s">
        <v>227</v>
      </c>
      <c r="H15" s="18" t="s">
        <v>228</v>
      </c>
      <c r="I15" s="18" t="s">
        <v>229</v>
      </c>
      <c r="J15" s="18" t="s">
        <v>230</v>
      </c>
      <c r="K15" s="21" t="s">
        <v>231</v>
      </c>
      <c r="L15" s="22" t="s">
        <v>232</v>
      </c>
      <c r="M15" s="23" t="s">
        <v>233</v>
      </c>
      <c r="N15" s="18" t="s">
        <v>234</v>
      </c>
      <c r="O15" s="24" t="s">
        <v>235</v>
      </c>
      <c r="P15" s="18" t="s">
        <v>236</v>
      </c>
      <c r="Q15" s="17" t="s">
        <v>1729</v>
      </c>
      <c r="R15" s="35">
        <v>46270</v>
      </c>
    </row>
    <row r="16" spans="1:18" ht="111.95" customHeight="1" x14ac:dyDescent="0.25">
      <c r="A16" s="18">
        <v>14</v>
      </c>
      <c r="B16" s="18" t="s">
        <v>196</v>
      </c>
      <c r="C16" s="18" t="s">
        <v>237</v>
      </c>
      <c r="D16" s="19" t="s">
        <v>238</v>
      </c>
      <c r="E16" s="20" t="s">
        <v>239</v>
      </c>
      <c r="F16" s="18" t="s">
        <v>240</v>
      </c>
      <c r="G16" s="18" t="s">
        <v>241</v>
      </c>
      <c r="H16" s="18" t="s">
        <v>242</v>
      </c>
      <c r="I16" s="18" t="s">
        <v>243</v>
      </c>
      <c r="J16" s="18" t="s">
        <v>244</v>
      </c>
      <c r="K16" s="21" t="s">
        <v>245</v>
      </c>
      <c r="L16" s="22" t="s">
        <v>246</v>
      </c>
      <c r="M16" s="23" t="s">
        <v>247</v>
      </c>
      <c r="N16" s="18" t="s">
        <v>234</v>
      </c>
      <c r="O16" s="24" t="s">
        <v>235</v>
      </c>
      <c r="P16" s="18" t="s">
        <v>248</v>
      </c>
      <c r="Q16" s="17" t="s">
        <v>1729</v>
      </c>
      <c r="R16" s="35">
        <v>46270</v>
      </c>
    </row>
    <row r="17" spans="1:18" ht="111.95" customHeight="1" x14ac:dyDescent="0.25">
      <c r="A17" s="18">
        <v>15</v>
      </c>
      <c r="B17" s="18" t="s">
        <v>196</v>
      </c>
      <c r="C17" s="18" t="s">
        <v>249</v>
      </c>
      <c r="D17" s="19" t="s">
        <v>250</v>
      </c>
      <c r="E17" s="20" t="s">
        <v>251</v>
      </c>
      <c r="F17" s="18" t="s">
        <v>252</v>
      </c>
      <c r="G17" s="18" t="s">
        <v>253</v>
      </c>
      <c r="H17" s="18" t="s">
        <v>254</v>
      </c>
      <c r="I17" s="18" t="s">
        <v>255</v>
      </c>
      <c r="J17" s="18" t="s">
        <v>256</v>
      </c>
      <c r="K17" s="21" t="s">
        <v>257</v>
      </c>
      <c r="L17" s="22" t="s">
        <v>258</v>
      </c>
      <c r="M17" s="23" t="s">
        <v>259</v>
      </c>
      <c r="N17" s="18" t="s">
        <v>260</v>
      </c>
      <c r="O17" s="24" t="s">
        <v>261</v>
      </c>
      <c r="P17" s="18" t="s">
        <v>262</v>
      </c>
      <c r="Q17" s="17" t="s">
        <v>1729</v>
      </c>
      <c r="R17" s="35">
        <v>46270</v>
      </c>
    </row>
    <row r="18" spans="1:18" ht="111.95" customHeight="1" x14ac:dyDescent="0.25">
      <c r="A18" s="18">
        <v>16</v>
      </c>
      <c r="B18" s="18" t="s">
        <v>196</v>
      </c>
      <c r="C18" s="18" t="s">
        <v>263</v>
      </c>
      <c r="D18" s="19" t="s">
        <v>264</v>
      </c>
      <c r="E18" s="20" t="s">
        <v>265</v>
      </c>
      <c r="F18" s="18" t="s">
        <v>266</v>
      </c>
      <c r="G18" s="18" t="s">
        <v>267</v>
      </c>
      <c r="H18" s="18" t="s">
        <v>268</v>
      </c>
      <c r="I18" s="18" t="s">
        <v>269</v>
      </c>
      <c r="J18" s="18" t="s">
        <v>270</v>
      </c>
      <c r="K18" s="21" t="s">
        <v>271</v>
      </c>
      <c r="L18" s="22" t="s">
        <v>272</v>
      </c>
      <c r="M18" s="23" t="s">
        <v>273</v>
      </c>
      <c r="N18" s="18" t="s">
        <v>234</v>
      </c>
      <c r="O18" s="24" t="s">
        <v>235</v>
      </c>
      <c r="P18" s="18" t="s">
        <v>274</v>
      </c>
      <c r="Q18" s="17" t="s">
        <v>1729</v>
      </c>
      <c r="R18" s="35">
        <v>46270</v>
      </c>
    </row>
    <row r="19" spans="1:18" ht="111.95" customHeight="1" x14ac:dyDescent="0.25">
      <c r="A19" s="18">
        <v>17</v>
      </c>
      <c r="B19" s="18" t="s">
        <v>196</v>
      </c>
      <c r="C19" s="18" t="s">
        <v>275</v>
      </c>
      <c r="D19" s="19" t="s">
        <v>276</v>
      </c>
      <c r="E19" s="20" t="s">
        <v>277</v>
      </c>
      <c r="F19" s="18" t="s">
        <v>278</v>
      </c>
      <c r="G19" s="18" t="s">
        <v>279</v>
      </c>
      <c r="H19" s="18" t="s">
        <v>280</v>
      </c>
      <c r="I19" s="18" t="s">
        <v>281</v>
      </c>
      <c r="J19" s="18" t="s">
        <v>282</v>
      </c>
      <c r="K19" s="21" t="s">
        <v>283</v>
      </c>
      <c r="L19" s="22" t="s">
        <v>284</v>
      </c>
      <c r="M19" s="23" t="s">
        <v>285</v>
      </c>
      <c r="N19" s="18" t="s">
        <v>234</v>
      </c>
      <c r="O19" s="24" t="s">
        <v>235</v>
      </c>
      <c r="P19" s="18" t="s">
        <v>286</v>
      </c>
      <c r="Q19" s="17" t="s">
        <v>1729</v>
      </c>
      <c r="R19" s="35">
        <v>46270</v>
      </c>
    </row>
    <row r="20" spans="1:18" ht="111.95" customHeight="1" x14ac:dyDescent="0.25">
      <c r="A20" s="18">
        <v>18</v>
      </c>
      <c r="B20" s="18" t="s">
        <v>196</v>
      </c>
      <c r="C20" s="18" t="s">
        <v>287</v>
      </c>
      <c r="D20" s="19" t="s">
        <v>288</v>
      </c>
      <c r="E20" s="20" t="s">
        <v>289</v>
      </c>
      <c r="F20" s="18" t="s">
        <v>290</v>
      </c>
      <c r="G20" s="18" t="s">
        <v>291</v>
      </c>
      <c r="H20" s="18" t="s">
        <v>292</v>
      </c>
      <c r="I20" s="18" t="s">
        <v>293</v>
      </c>
      <c r="J20" s="18" t="s">
        <v>294</v>
      </c>
      <c r="K20" s="21" t="s">
        <v>295</v>
      </c>
      <c r="L20" s="22" t="s">
        <v>296</v>
      </c>
      <c r="M20" s="23" t="s">
        <v>297</v>
      </c>
      <c r="N20" s="18" t="s">
        <v>208</v>
      </c>
      <c r="O20" s="24" t="s">
        <v>209</v>
      </c>
      <c r="P20" s="18" t="s">
        <v>298</v>
      </c>
      <c r="Q20" s="17" t="s">
        <v>1729</v>
      </c>
      <c r="R20" s="35">
        <v>46270</v>
      </c>
    </row>
    <row r="21" spans="1:18" ht="111.95" customHeight="1" x14ac:dyDescent="0.25">
      <c r="A21" s="18">
        <v>19</v>
      </c>
      <c r="B21" s="18" t="s">
        <v>196</v>
      </c>
      <c r="C21" s="18" t="s">
        <v>299</v>
      </c>
      <c r="D21" s="19" t="s">
        <v>300</v>
      </c>
      <c r="E21" s="20" t="s">
        <v>301</v>
      </c>
      <c r="F21" s="18" t="s">
        <v>302</v>
      </c>
      <c r="G21" s="18" t="s">
        <v>303</v>
      </c>
      <c r="H21" s="18" t="s">
        <v>304</v>
      </c>
      <c r="I21" s="18" t="s">
        <v>305</v>
      </c>
      <c r="J21" s="18" t="s">
        <v>306</v>
      </c>
      <c r="K21" s="21" t="s">
        <v>307</v>
      </c>
      <c r="L21" s="22" t="s">
        <v>308</v>
      </c>
      <c r="M21" s="23" t="s">
        <v>309</v>
      </c>
      <c r="N21" s="18" t="s">
        <v>208</v>
      </c>
      <c r="O21" s="24" t="s">
        <v>209</v>
      </c>
      <c r="P21" s="18" t="s">
        <v>310</v>
      </c>
      <c r="Q21" s="17" t="s">
        <v>1729</v>
      </c>
      <c r="R21" s="35">
        <v>46270</v>
      </c>
    </row>
    <row r="22" spans="1:18" ht="111.95" customHeight="1" x14ac:dyDescent="0.25">
      <c r="A22" s="18">
        <v>20</v>
      </c>
      <c r="B22" s="18" t="s">
        <v>196</v>
      </c>
      <c r="C22" s="18" t="s">
        <v>311</v>
      </c>
      <c r="D22" s="19" t="s">
        <v>312</v>
      </c>
      <c r="E22" s="20" t="s">
        <v>313</v>
      </c>
      <c r="F22" s="18" t="s">
        <v>314</v>
      </c>
      <c r="G22" s="18" t="s">
        <v>315</v>
      </c>
      <c r="H22" s="18" t="s">
        <v>316</v>
      </c>
      <c r="I22" s="18" t="s">
        <v>317</v>
      </c>
      <c r="J22" s="18" t="s">
        <v>318</v>
      </c>
      <c r="K22" s="21" t="s">
        <v>319</v>
      </c>
      <c r="L22" s="22" t="s">
        <v>320</v>
      </c>
      <c r="M22" s="23" t="s">
        <v>321</v>
      </c>
      <c r="N22" s="18" t="s">
        <v>208</v>
      </c>
      <c r="O22" s="24" t="s">
        <v>209</v>
      </c>
      <c r="P22" s="18" t="s">
        <v>322</v>
      </c>
      <c r="Q22" s="17" t="s">
        <v>1729</v>
      </c>
      <c r="R22" s="35">
        <v>46270</v>
      </c>
    </row>
    <row r="23" spans="1:18" ht="111.95" customHeight="1" x14ac:dyDescent="0.25">
      <c r="A23" s="18">
        <v>21</v>
      </c>
      <c r="B23" s="18" t="s">
        <v>196</v>
      </c>
      <c r="C23" s="18" t="s">
        <v>323</v>
      </c>
      <c r="D23" s="19" t="s">
        <v>324</v>
      </c>
      <c r="E23" s="20" t="s">
        <v>325</v>
      </c>
      <c r="F23" s="18" t="s">
        <v>326</v>
      </c>
      <c r="G23" s="18" t="s">
        <v>327</v>
      </c>
      <c r="H23" s="18" t="s">
        <v>328</v>
      </c>
      <c r="I23" s="18" t="s">
        <v>329</v>
      </c>
      <c r="J23" s="18" t="s">
        <v>330</v>
      </c>
      <c r="K23" s="21" t="s">
        <v>331</v>
      </c>
      <c r="L23" s="22" t="s">
        <v>332</v>
      </c>
      <c r="M23" s="23" t="s">
        <v>333</v>
      </c>
      <c r="N23" s="18" t="s">
        <v>208</v>
      </c>
      <c r="O23" s="24" t="s">
        <v>209</v>
      </c>
      <c r="P23" s="18" t="s">
        <v>334</v>
      </c>
      <c r="Q23" s="17" t="s">
        <v>1729</v>
      </c>
      <c r="R23" s="35">
        <v>46270</v>
      </c>
    </row>
    <row r="24" spans="1:18" ht="111.95" customHeight="1" x14ac:dyDescent="0.25">
      <c r="A24" s="18">
        <v>22</v>
      </c>
      <c r="B24" s="18" t="s">
        <v>196</v>
      </c>
      <c r="C24" s="18" t="s">
        <v>335</v>
      </c>
      <c r="D24" s="19" t="s">
        <v>336</v>
      </c>
      <c r="E24" s="20" t="s">
        <v>337</v>
      </c>
      <c r="F24" s="18" t="s">
        <v>338</v>
      </c>
      <c r="G24" s="18" t="s">
        <v>339</v>
      </c>
      <c r="H24" s="18" t="s">
        <v>340</v>
      </c>
      <c r="I24" s="18" t="s">
        <v>341</v>
      </c>
      <c r="J24" s="18" t="s">
        <v>342</v>
      </c>
      <c r="K24" s="21" t="s">
        <v>343</v>
      </c>
      <c r="L24" s="22" t="s">
        <v>344</v>
      </c>
      <c r="M24" s="23" t="s">
        <v>345</v>
      </c>
      <c r="N24" s="18" t="s">
        <v>346</v>
      </c>
      <c r="O24" s="24" t="s">
        <v>347</v>
      </c>
      <c r="P24" s="18" t="s">
        <v>348</v>
      </c>
      <c r="Q24" s="17" t="s">
        <v>1729</v>
      </c>
      <c r="R24" s="35">
        <v>46270</v>
      </c>
    </row>
    <row r="25" spans="1:18" ht="111.95" customHeight="1" x14ac:dyDescent="0.25">
      <c r="A25" s="18">
        <v>23</v>
      </c>
      <c r="B25" s="18" t="s">
        <v>196</v>
      </c>
      <c r="C25" s="18" t="s">
        <v>349</v>
      </c>
      <c r="D25" s="19" t="s">
        <v>350</v>
      </c>
      <c r="E25" s="20" t="s">
        <v>289</v>
      </c>
      <c r="F25" s="18" t="s">
        <v>351</v>
      </c>
      <c r="G25" s="18" t="s">
        <v>352</v>
      </c>
      <c r="H25" s="18" t="s">
        <v>353</v>
      </c>
      <c r="I25" s="18" t="s">
        <v>354</v>
      </c>
      <c r="J25" s="18" t="s">
        <v>355</v>
      </c>
      <c r="K25" s="21" t="s">
        <v>356</v>
      </c>
      <c r="L25" s="22" t="s">
        <v>357</v>
      </c>
      <c r="M25" s="23" t="s">
        <v>358</v>
      </c>
      <c r="N25" s="18" t="s">
        <v>359</v>
      </c>
      <c r="O25" s="24" t="s">
        <v>360</v>
      </c>
      <c r="P25" s="18" t="s">
        <v>361</v>
      </c>
      <c r="Q25" s="17" t="s">
        <v>1729</v>
      </c>
      <c r="R25" s="35">
        <v>46270</v>
      </c>
    </row>
    <row r="26" spans="1:18" ht="111.95" customHeight="1" x14ac:dyDescent="0.25">
      <c r="A26" s="18">
        <v>24</v>
      </c>
      <c r="B26" s="18" t="s">
        <v>196</v>
      </c>
      <c r="C26" s="18" t="s">
        <v>362</v>
      </c>
      <c r="D26" s="19" t="s">
        <v>264</v>
      </c>
      <c r="E26" s="20" t="s">
        <v>363</v>
      </c>
      <c r="F26" s="18" t="s">
        <v>364</v>
      </c>
      <c r="G26" s="18" t="s">
        <v>365</v>
      </c>
      <c r="H26" s="18" t="s">
        <v>366</v>
      </c>
      <c r="I26" s="18" t="s">
        <v>367</v>
      </c>
      <c r="J26" s="18" t="s">
        <v>368</v>
      </c>
      <c r="K26" s="21" t="s">
        <v>369</v>
      </c>
      <c r="L26" s="22" t="s">
        <v>370</v>
      </c>
      <c r="M26" s="23" t="s">
        <v>371</v>
      </c>
      <c r="N26" s="18" t="s">
        <v>372</v>
      </c>
      <c r="O26" s="24" t="s">
        <v>373</v>
      </c>
      <c r="P26" s="18" t="s">
        <v>374</v>
      </c>
      <c r="Q26" s="17" t="s">
        <v>1729</v>
      </c>
      <c r="R26" s="35">
        <v>46270</v>
      </c>
    </row>
    <row r="27" spans="1:18" ht="111.95" customHeight="1" x14ac:dyDescent="0.25">
      <c r="A27" s="18">
        <v>25</v>
      </c>
      <c r="B27" s="18" t="s">
        <v>375</v>
      </c>
      <c r="C27" s="18" t="s">
        <v>376</v>
      </c>
      <c r="D27" s="19" t="s">
        <v>377</v>
      </c>
      <c r="E27" s="20" t="s">
        <v>378</v>
      </c>
      <c r="F27" s="18" t="s">
        <v>379</v>
      </c>
      <c r="G27" s="18" t="s">
        <v>380</v>
      </c>
      <c r="H27" s="18" t="s">
        <v>381</v>
      </c>
      <c r="I27" s="18" t="s">
        <v>382</v>
      </c>
      <c r="J27" s="18" t="s">
        <v>383</v>
      </c>
      <c r="K27" s="21" t="s">
        <v>384</v>
      </c>
      <c r="L27" s="22" t="s">
        <v>385</v>
      </c>
      <c r="M27" s="23" t="s">
        <v>386</v>
      </c>
      <c r="N27" s="18" t="s">
        <v>387</v>
      </c>
      <c r="O27" s="24" t="s">
        <v>388</v>
      </c>
      <c r="P27" s="18" t="s">
        <v>389</v>
      </c>
      <c r="Q27" s="17" t="s">
        <v>1729</v>
      </c>
      <c r="R27" s="35">
        <v>46270</v>
      </c>
    </row>
    <row r="28" spans="1:18" ht="111.95" customHeight="1" x14ac:dyDescent="0.25">
      <c r="A28" s="18">
        <v>26</v>
      </c>
      <c r="B28" s="18" t="s">
        <v>375</v>
      </c>
      <c r="C28" s="18" t="s">
        <v>390</v>
      </c>
      <c r="D28" s="19" t="s">
        <v>377</v>
      </c>
      <c r="E28" s="20" t="s">
        <v>391</v>
      </c>
      <c r="F28" s="18" t="s">
        <v>392</v>
      </c>
      <c r="G28" s="18" t="s">
        <v>393</v>
      </c>
      <c r="H28" s="18" t="s">
        <v>394</v>
      </c>
      <c r="I28" s="18" t="s">
        <v>395</v>
      </c>
      <c r="J28" s="18" t="s">
        <v>396</v>
      </c>
      <c r="K28" s="21" t="s">
        <v>397</v>
      </c>
      <c r="L28" s="22" t="s">
        <v>398</v>
      </c>
      <c r="M28" s="23" t="s">
        <v>399</v>
      </c>
      <c r="N28" s="18" t="s">
        <v>387</v>
      </c>
      <c r="O28" s="24" t="s">
        <v>388</v>
      </c>
      <c r="P28" s="18" t="s">
        <v>400</v>
      </c>
      <c r="Q28" s="17" t="s">
        <v>1729</v>
      </c>
      <c r="R28" s="35">
        <v>46270</v>
      </c>
    </row>
    <row r="29" spans="1:18" ht="111.95" customHeight="1" x14ac:dyDescent="0.25">
      <c r="A29" s="18">
        <v>27</v>
      </c>
      <c r="B29" s="18" t="s">
        <v>375</v>
      </c>
      <c r="C29" s="18" t="s">
        <v>401</v>
      </c>
      <c r="D29" s="19" t="s">
        <v>402</v>
      </c>
      <c r="E29" s="20" t="s">
        <v>403</v>
      </c>
      <c r="F29" s="18" t="s">
        <v>404</v>
      </c>
      <c r="G29" s="18" t="s">
        <v>405</v>
      </c>
      <c r="H29" s="18" t="s">
        <v>406</v>
      </c>
      <c r="I29" s="18" t="s">
        <v>407</v>
      </c>
      <c r="J29" s="18" t="s">
        <v>408</v>
      </c>
      <c r="K29" s="21" t="s">
        <v>409</v>
      </c>
      <c r="L29" s="22" t="s">
        <v>410</v>
      </c>
      <c r="M29" s="23" t="s">
        <v>411</v>
      </c>
      <c r="N29" s="18" t="s">
        <v>412</v>
      </c>
      <c r="O29" s="24" t="s">
        <v>413</v>
      </c>
      <c r="P29" s="18" t="s">
        <v>414</v>
      </c>
      <c r="Q29" s="17" t="s">
        <v>1729</v>
      </c>
      <c r="R29" s="35">
        <v>46270</v>
      </c>
    </row>
    <row r="30" spans="1:18" ht="111.95" customHeight="1" x14ac:dyDescent="0.25">
      <c r="A30" s="18">
        <v>28</v>
      </c>
      <c r="B30" s="18" t="s">
        <v>375</v>
      </c>
      <c r="C30" s="18" t="s">
        <v>415</v>
      </c>
      <c r="D30" s="19" t="s">
        <v>416</v>
      </c>
      <c r="E30" s="20" t="s">
        <v>417</v>
      </c>
      <c r="F30" s="18" t="s">
        <v>418</v>
      </c>
      <c r="G30" s="18" t="s">
        <v>419</v>
      </c>
      <c r="H30" s="18" t="s">
        <v>420</v>
      </c>
      <c r="I30" s="18" t="s">
        <v>421</v>
      </c>
      <c r="J30" s="18" t="s">
        <v>422</v>
      </c>
      <c r="K30" s="21" t="s">
        <v>423</v>
      </c>
      <c r="L30" s="22" t="s">
        <v>424</v>
      </c>
      <c r="M30" s="23" t="s">
        <v>425</v>
      </c>
      <c r="N30" s="18" t="s">
        <v>426</v>
      </c>
      <c r="O30" s="24" t="s">
        <v>413</v>
      </c>
      <c r="P30" s="18" t="s">
        <v>427</v>
      </c>
      <c r="Q30" s="17" t="s">
        <v>1729</v>
      </c>
      <c r="R30" s="35">
        <v>46270</v>
      </c>
    </row>
    <row r="31" spans="1:18" ht="111.95" customHeight="1" x14ac:dyDescent="0.25">
      <c r="A31" s="18">
        <v>29</v>
      </c>
      <c r="B31" s="18" t="s">
        <v>375</v>
      </c>
      <c r="C31" s="18" t="s">
        <v>428</v>
      </c>
      <c r="D31" s="19" t="s">
        <v>429</v>
      </c>
      <c r="E31" s="20" t="s">
        <v>417</v>
      </c>
      <c r="F31" s="18" t="s">
        <v>430</v>
      </c>
      <c r="G31" s="18" t="s">
        <v>431</v>
      </c>
      <c r="H31" s="18" t="s">
        <v>432</v>
      </c>
      <c r="I31" s="18" t="s">
        <v>433</v>
      </c>
      <c r="J31" s="18" t="s">
        <v>434</v>
      </c>
      <c r="K31" s="21" t="s">
        <v>435</v>
      </c>
      <c r="L31" s="22" t="s">
        <v>436</v>
      </c>
      <c r="M31" s="23" t="s">
        <v>437</v>
      </c>
      <c r="N31" s="18" t="s">
        <v>426</v>
      </c>
      <c r="O31" s="24" t="s">
        <v>413</v>
      </c>
      <c r="P31" s="18" t="s">
        <v>438</v>
      </c>
      <c r="Q31" s="17" t="s">
        <v>1729</v>
      </c>
      <c r="R31" s="35">
        <v>46270</v>
      </c>
    </row>
    <row r="32" spans="1:18" ht="111.95" customHeight="1" x14ac:dyDescent="0.25">
      <c r="A32" s="18">
        <v>30</v>
      </c>
      <c r="B32" s="18" t="s">
        <v>375</v>
      </c>
      <c r="C32" s="18" t="s">
        <v>439</v>
      </c>
      <c r="D32" s="19" t="s">
        <v>440</v>
      </c>
      <c r="E32" s="20" t="s">
        <v>441</v>
      </c>
      <c r="F32" s="18" t="s">
        <v>442</v>
      </c>
      <c r="G32" s="18" t="s">
        <v>443</v>
      </c>
      <c r="H32" s="18" t="s">
        <v>444</v>
      </c>
      <c r="I32" s="18" t="s">
        <v>445</v>
      </c>
      <c r="J32" s="18" t="s">
        <v>446</v>
      </c>
      <c r="K32" s="21" t="s">
        <v>447</v>
      </c>
      <c r="L32" s="22" t="s">
        <v>448</v>
      </c>
      <c r="M32" s="23" t="s">
        <v>449</v>
      </c>
      <c r="N32" s="18" t="s">
        <v>426</v>
      </c>
      <c r="O32" s="24" t="s">
        <v>413</v>
      </c>
      <c r="P32" s="18" t="s">
        <v>450</v>
      </c>
      <c r="Q32" s="17" t="s">
        <v>1729</v>
      </c>
      <c r="R32" s="35">
        <v>46270</v>
      </c>
    </row>
    <row r="33" spans="1:18" ht="111.95" customHeight="1" x14ac:dyDescent="0.25">
      <c r="A33" s="18">
        <v>31</v>
      </c>
      <c r="B33" s="18" t="s">
        <v>375</v>
      </c>
      <c r="C33" s="18" t="s">
        <v>451</v>
      </c>
      <c r="D33" s="19" t="s">
        <v>452</v>
      </c>
      <c r="E33" s="20" t="s">
        <v>453</v>
      </c>
      <c r="F33" s="18" t="s">
        <v>454</v>
      </c>
      <c r="G33" s="18" t="s">
        <v>455</v>
      </c>
      <c r="H33" s="18" t="s">
        <v>456</v>
      </c>
      <c r="I33" s="18" t="s">
        <v>457</v>
      </c>
      <c r="J33" s="18" t="s">
        <v>458</v>
      </c>
      <c r="K33" s="21" t="s">
        <v>459</v>
      </c>
      <c r="L33" s="22" t="s">
        <v>460</v>
      </c>
      <c r="M33" s="23" t="s">
        <v>461</v>
      </c>
      <c r="N33" s="18" t="s">
        <v>412</v>
      </c>
      <c r="O33" s="24" t="s">
        <v>413</v>
      </c>
      <c r="P33" s="18" t="s">
        <v>462</v>
      </c>
      <c r="Q33" s="17" t="s">
        <v>1729</v>
      </c>
      <c r="R33" s="35">
        <v>46270</v>
      </c>
    </row>
    <row r="34" spans="1:18" ht="111.95" customHeight="1" x14ac:dyDescent="0.25">
      <c r="A34" s="18">
        <v>32</v>
      </c>
      <c r="B34" s="18" t="s">
        <v>375</v>
      </c>
      <c r="C34" s="18" t="s">
        <v>463</v>
      </c>
      <c r="D34" s="19" t="s">
        <v>464</v>
      </c>
      <c r="E34" s="20" t="s">
        <v>465</v>
      </c>
      <c r="F34" s="18" t="s">
        <v>466</v>
      </c>
      <c r="G34" s="18" t="s">
        <v>467</v>
      </c>
      <c r="H34" s="18" t="s">
        <v>468</v>
      </c>
      <c r="I34" s="18" t="s">
        <v>469</v>
      </c>
      <c r="J34" s="18" t="s">
        <v>470</v>
      </c>
      <c r="K34" s="21" t="s">
        <v>471</v>
      </c>
      <c r="L34" s="22" t="s">
        <v>472</v>
      </c>
      <c r="M34" s="23" t="s">
        <v>473</v>
      </c>
      <c r="N34" s="18" t="s">
        <v>412</v>
      </c>
      <c r="O34" s="24" t="s">
        <v>413</v>
      </c>
      <c r="P34" s="18" t="s">
        <v>474</v>
      </c>
      <c r="Q34" s="17" t="s">
        <v>1729</v>
      </c>
      <c r="R34" s="35">
        <v>46270</v>
      </c>
    </row>
    <row r="35" spans="1:18" ht="111.95" customHeight="1" x14ac:dyDescent="0.25">
      <c r="A35" s="18">
        <v>33</v>
      </c>
      <c r="B35" s="18" t="s">
        <v>375</v>
      </c>
      <c r="C35" s="18" t="s">
        <v>475</v>
      </c>
      <c r="D35" s="19" t="s">
        <v>476</v>
      </c>
      <c r="E35" s="20" t="s">
        <v>477</v>
      </c>
      <c r="F35" s="18" t="s">
        <v>478</v>
      </c>
      <c r="G35" s="18" t="s">
        <v>479</v>
      </c>
      <c r="H35" s="18" t="s">
        <v>480</v>
      </c>
      <c r="I35" s="18" t="s">
        <v>481</v>
      </c>
      <c r="J35" s="18" t="s">
        <v>482</v>
      </c>
      <c r="K35" s="21" t="s">
        <v>483</v>
      </c>
      <c r="L35" s="22" t="s">
        <v>484</v>
      </c>
      <c r="M35" s="23" t="s">
        <v>485</v>
      </c>
      <c r="N35" s="18" t="s">
        <v>412</v>
      </c>
      <c r="O35" s="24" t="s">
        <v>413</v>
      </c>
      <c r="P35" s="18" t="s">
        <v>486</v>
      </c>
      <c r="Q35" s="17" t="s">
        <v>1729</v>
      </c>
      <c r="R35" s="35">
        <v>46270</v>
      </c>
    </row>
    <row r="36" spans="1:18" ht="111.95" customHeight="1" x14ac:dyDescent="0.25">
      <c r="A36" s="18">
        <v>34</v>
      </c>
      <c r="B36" s="18" t="s">
        <v>375</v>
      </c>
      <c r="C36" s="18" t="s">
        <v>487</v>
      </c>
      <c r="D36" s="19" t="s">
        <v>441</v>
      </c>
      <c r="E36" s="20" t="s">
        <v>488</v>
      </c>
      <c r="F36" s="18" t="s">
        <v>489</v>
      </c>
      <c r="G36" s="18" t="s">
        <v>490</v>
      </c>
      <c r="H36" s="18" t="s">
        <v>491</v>
      </c>
      <c r="I36" s="18" t="s">
        <v>492</v>
      </c>
      <c r="J36" s="18" t="s">
        <v>493</v>
      </c>
      <c r="K36" s="21" t="s">
        <v>494</v>
      </c>
      <c r="L36" s="22" t="s">
        <v>495</v>
      </c>
      <c r="M36" s="23" t="s">
        <v>496</v>
      </c>
      <c r="N36" s="18" t="s">
        <v>497</v>
      </c>
      <c r="O36" s="24" t="s">
        <v>498</v>
      </c>
      <c r="P36" s="18" t="s">
        <v>499</v>
      </c>
      <c r="Q36" s="17" t="s">
        <v>1729</v>
      </c>
      <c r="R36" s="35">
        <v>46270</v>
      </c>
    </row>
    <row r="37" spans="1:18" ht="111.95" customHeight="1" x14ac:dyDescent="0.25">
      <c r="A37" s="18">
        <v>35</v>
      </c>
      <c r="B37" s="18" t="s">
        <v>375</v>
      </c>
      <c r="C37" s="18" t="s">
        <v>500</v>
      </c>
      <c r="D37" s="19" t="s">
        <v>501</v>
      </c>
      <c r="E37" s="20" t="s">
        <v>502</v>
      </c>
      <c r="F37" s="18" t="s">
        <v>503</v>
      </c>
      <c r="G37" s="18" t="s">
        <v>504</v>
      </c>
      <c r="H37" s="18" t="s">
        <v>505</v>
      </c>
      <c r="I37" s="18" t="s">
        <v>506</v>
      </c>
      <c r="J37" s="18" t="s">
        <v>507</v>
      </c>
      <c r="K37" s="21" t="s">
        <v>508</v>
      </c>
      <c r="L37" s="22" t="s">
        <v>509</v>
      </c>
      <c r="M37" s="23" t="s">
        <v>510</v>
      </c>
      <c r="N37" s="18" t="s">
        <v>511</v>
      </c>
      <c r="O37" s="24" t="s">
        <v>512</v>
      </c>
      <c r="P37" s="18" t="s">
        <v>513</v>
      </c>
      <c r="Q37" s="17" t="s">
        <v>1729</v>
      </c>
      <c r="R37" s="35">
        <v>46270</v>
      </c>
    </row>
    <row r="38" spans="1:18" ht="111.95" customHeight="1" x14ac:dyDescent="0.25">
      <c r="A38" s="18">
        <v>36</v>
      </c>
      <c r="B38" s="18" t="s">
        <v>375</v>
      </c>
      <c r="C38" s="18" t="s">
        <v>514</v>
      </c>
      <c r="D38" s="19" t="s">
        <v>515</v>
      </c>
      <c r="E38" s="20" t="s">
        <v>516</v>
      </c>
      <c r="F38" s="18" t="s">
        <v>517</v>
      </c>
      <c r="G38" s="18" t="s">
        <v>518</v>
      </c>
      <c r="H38" s="18" t="s">
        <v>519</v>
      </c>
      <c r="I38" s="18" t="s">
        <v>520</v>
      </c>
      <c r="J38" s="18" t="s">
        <v>521</v>
      </c>
      <c r="K38" s="21" t="s">
        <v>522</v>
      </c>
      <c r="L38" s="22" t="s">
        <v>523</v>
      </c>
      <c r="M38" s="23" t="s">
        <v>524</v>
      </c>
      <c r="N38" s="18" t="s">
        <v>511</v>
      </c>
      <c r="O38" s="24" t="s">
        <v>512</v>
      </c>
      <c r="P38" s="18" t="s">
        <v>525</v>
      </c>
      <c r="Q38" s="17" t="s">
        <v>1729</v>
      </c>
      <c r="R38" s="35">
        <v>46270</v>
      </c>
    </row>
    <row r="39" spans="1:18" ht="111.95" customHeight="1" x14ac:dyDescent="0.25">
      <c r="A39" s="18">
        <v>37</v>
      </c>
      <c r="B39" s="18" t="s">
        <v>375</v>
      </c>
      <c r="C39" s="18" t="s">
        <v>526</v>
      </c>
      <c r="D39" s="19" t="s">
        <v>527</v>
      </c>
      <c r="E39" s="20" t="s">
        <v>528</v>
      </c>
      <c r="F39" s="18" t="s">
        <v>529</v>
      </c>
      <c r="G39" s="18" t="s">
        <v>530</v>
      </c>
      <c r="H39" s="18" t="s">
        <v>531</v>
      </c>
      <c r="I39" s="18" t="s">
        <v>532</v>
      </c>
      <c r="J39" s="18" t="s">
        <v>533</v>
      </c>
      <c r="K39" s="21" t="s">
        <v>534</v>
      </c>
      <c r="L39" s="22" t="s">
        <v>535</v>
      </c>
      <c r="M39" s="23" t="s">
        <v>536</v>
      </c>
      <c r="N39" s="18" t="s">
        <v>511</v>
      </c>
      <c r="O39" s="24" t="s">
        <v>512</v>
      </c>
      <c r="P39" s="18" t="s">
        <v>537</v>
      </c>
      <c r="Q39" s="17" t="s">
        <v>1729</v>
      </c>
      <c r="R39" s="35">
        <v>46270</v>
      </c>
    </row>
    <row r="40" spans="1:18" ht="111.95" customHeight="1" x14ac:dyDescent="0.25">
      <c r="A40" s="18">
        <v>38</v>
      </c>
      <c r="B40" s="18" t="s">
        <v>375</v>
      </c>
      <c r="C40" s="18" t="s">
        <v>538</v>
      </c>
      <c r="D40" s="19" t="s">
        <v>539</v>
      </c>
      <c r="E40" s="20" t="s">
        <v>540</v>
      </c>
      <c r="F40" s="18" t="s">
        <v>541</v>
      </c>
      <c r="G40" s="18" t="s">
        <v>542</v>
      </c>
      <c r="H40" s="18" t="s">
        <v>543</v>
      </c>
      <c r="I40" s="18" t="s">
        <v>544</v>
      </c>
      <c r="J40" s="18" t="s">
        <v>545</v>
      </c>
      <c r="K40" s="21" t="s">
        <v>546</v>
      </c>
      <c r="L40" s="22" t="s">
        <v>547</v>
      </c>
      <c r="M40" s="23" t="s">
        <v>548</v>
      </c>
      <c r="N40" s="18" t="s">
        <v>511</v>
      </c>
      <c r="O40" s="24" t="s">
        <v>512</v>
      </c>
      <c r="P40" s="18" t="s">
        <v>549</v>
      </c>
      <c r="Q40" s="17" t="s">
        <v>1729</v>
      </c>
      <c r="R40" s="35">
        <v>46270</v>
      </c>
    </row>
    <row r="41" spans="1:18" ht="111.95" customHeight="1" x14ac:dyDescent="0.25">
      <c r="A41" s="18">
        <v>39</v>
      </c>
      <c r="B41" s="18" t="s">
        <v>375</v>
      </c>
      <c r="C41" s="18" t="s">
        <v>550</v>
      </c>
      <c r="D41" s="19" t="s">
        <v>551</v>
      </c>
      <c r="E41" s="20" t="s">
        <v>552</v>
      </c>
      <c r="F41" s="18" t="s">
        <v>553</v>
      </c>
      <c r="G41" s="18" t="s">
        <v>554</v>
      </c>
      <c r="H41" s="18" t="s">
        <v>555</v>
      </c>
      <c r="I41" s="18" t="s">
        <v>556</v>
      </c>
      <c r="J41" s="18" t="s">
        <v>557</v>
      </c>
      <c r="K41" s="21" t="s">
        <v>558</v>
      </c>
      <c r="L41" s="22" t="s">
        <v>559</v>
      </c>
      <c r="M41" s="23" t="s">
        <v>560</v>
      </c>
      <c r="N41" s="18" t="s">
        <v>511</v>
      </c>
      <c r="O41" s="24" t="s">
        <v>512</v>
      </c>
      <c r="P41" s="18" t="s">
        <v>561</v>
      </c>
      <c r="Q41" s="17" t="s">
        <v>1729</v>
      </c>
      <c r="R41" s="35">
        <v>46270</v>
      </c>
    </row>
    <row r="42" spans="1:18" ht="111.95" customHeight="1" x14ac:dyDescent="0.25">
      <c r="A42" s="18">
        <v>40</v>
      </c>
      <c r="B42" s="18" t="s">
        <v>375</v>
      </c>
      <c r="C42" s="18" t="s">
        <v>562</v>
      </c>
      <c r="D42" s="19" t="s">
        <v>563</v>
      </c>
      <c r="E42" s="20" t="s">
        <v>564</v>
      </c>
      <c r="F42" s="18" t="s">
        <v>565</v>
      </c>
      <c r="G42" s="18" t="s">
        <v>566</v>
      </c>
      <c r="H42" s="18" t="s">
        <v>567</v>
      </c>
      <c r="I42" s="18" t="s">
        <v>568</v>
      </c>
      <c r="J42" s="18" t="s">
        <v>569</v>
      </c>
      <c r="K42" s="21" t="s">
        <v>570</v>
      </c>
      <c r="L42" s="22" t="s">
        <v>571</v>
      </c>
      <c r="M42" s="23" t="s">
        <v>572</v>
      </c>
      <c r="N42" s="18" t="s">
        <v>573</v>
      </c>
      <c r="O42" s="24" t="s">
        <v>574</v>
      </c>
      <c r="P42" s="18" t="s">
        <v>575</v>
      </c>
      <c r="Q42" s="17" t="s">
        <v>1729</v>
      </c>
      <c r="R42" s="35">
        <v>46270</v>
      </c>
    </row>
    <row r="43" spans="1:18" ht="111.95" customHeight="1" x14ac:dyDescent="0.25">
      <c r="A43" s="18">
        <v>41</v>
      </c>
      <c r="B43" s="18" t="s">
        <v>375</v>
      </c>
      <c r="C43" s="18" t="s">
        <v>576</v>
      </c>
      <c r="D43" s="19" t="s">
        <v>577</v>
      </c>
      <c r="E43" s="20" t="s">
        <v>578</v>
      </c>
      <c r="F43" s="18" t="s">
        <v>579</v>
      </c>
      <c r="G43" s="18" t="s">
        <v>580</v>
      </c>
      <c r="H43" s="18" t="s">
        <v>581</v>
      </c>
      <c r="I43" s="18" t="s">
        <v>582</v>
      </c>
      <c r="J43" s="18" t="s">
        <v>583</v>
      </c>
      <c r="K43" s="21" t="s">
        <v>584</v>
      </c>
      <c r="L43" s="22" t="s">
        <v>585</v>
      </c>
      <c r="M43" s="23" t="s">
        <v>586</v>
      </c>
      <c r="N43" s="18" t="s">
        <v>573</v>
      </c>
      <c r="O43" s="24" t="s">
        <v>574</v>
      </c>
      <c r="P43" s="18" t="s">
        <v>587</v>
      </c>
      <c r="Q43" s="17" t="s">
        <v>1729</v>
      </c>
      <c r="R43" s="35">
        <v>46270</v>
      </c>
    </row>
    <row r="44" spans="1:18" ht="111.95" customHeight="1" x14ac:dyDescent="0.25">
      <c r="A44" s="18">
        <v>42</v>
      </c>
      <c r="B44" s="18" t="s">
        <v>375</v>
      </c>
      <c r="C44" s="18" t="s">
        <v>588</v>
      </c>
      <c r="D44" s="19" t="s">
        <v>589</v>
      </c>
      <c r="E44" s="20" t="s">
        <v>590</v>
      </c>
      <c r="F44" s="18" t="s">
        <v>591</v>
      </c>
      <c r="G44" s="18" t="s">
        <v>592</v>
      </c>
      <c r="H44" s="18" t="s">
        <v>593</v>
      </c>
      <c r="I44" s="18" t="s">
        <v>594</v>
      </c>
      <c r="J44" s="18" t="s">
        <v>595</v>
      </c>
      <c r="K44" s="21" t="s">
        <v>596</v>
      </c>
      <c r="L44" s="22" t="s">
        <v>597</v>
      </c>
      <c r="M44" s="23" t="s">
        <v>598</v>
      </c>
      <c r="N44" s="18" t="s">
        <v>599</v>
      </c>
      <c r="O44" s="24" t="s">
        <v>600</v>
      </c>
      <c r="P44" s="18" t="s">
        <v>601</v>
      </c>
      <c r="Q44" s="17" t="s">
        <v>1729</v>
      </c>
      <c r="R44" s="35">
        <v>46270</v>
      </c>
    </row>
    <row r="45" spans="1:18" ht="111.95" customHeight="1" x14ac:dyDescent="0.25">
      <c r="A45" s="18">
        <v>43</v>
      </c>
      <c r="B45" s="18" t="s">
        <v>375</v>
      </c>
      <c r="C45" s="18" t="s">
        <v>602</v>
      </c>
      <c r="D45" s="19" t="s">
        <v>603</v>
      </c>
      <c r="E45" s="20" t="s">
        <v>604</v>
      </c>
      <c r="F45" s="18" t="s">
        <v>605</v>
      </c>
      <c r="G45" s="18" t="s">
        <v>606</v>
      </c>
      <c r="H45" s="18" t="s">
        <v>607</v>
      </c>
      <c r="I45" s="18" t="s">
        <v>608</v>
      </c>
      <c r="J45" s="18" t="s">
        <v>609</v>
      </c>
      <c r="K45" s="21" t="s">
        <v>610</v>
      </c>
      <c r="L45" s="22" t="s">
        <v>611</v>
      </c>
      <c r="M45" s="23" t="s">
        <v>612</v>
      </c>
      <c r="N45" s="18" t="s">
        <v>412</v>
      </c>
      <c r="O45" s="24" t="s">
        <v>413</v>
      </c>
      <c r="P45" s="18" t="s">
        <v>613</v>
      </c>
      <c r="Q45" s="17" t="s">
        <v>1729</v>
      </c>
      <c r="R45" s="35">
        <v>46270</v>
      </c>
    </row>
    <row r="46" spans="1:18" ht="111.95" customHeight="1" x14ac:dyDescent="0.25">
      <c r="A46" s="18">
        <v>44</v>
      </c>
      <c r="B46" s="18" t="s">
        <v>614</v>
      </c>
      <c r="C46" s="18" t="s">
        <v>615</v>
      </c>
      <c r="D46" s="19" t="s">
        <v>616</v>
      </c>
      <c r="E46" s="20" t="s">
        <v>617</v>
      </c>
      <c r="F46" s="18" t="s">
        <v>618</v>
      </c>
      <c r="G46" s="18" t="s">
        <v>619</v>
      </c>
      <c r="H46" s="18" t="s">
        <v>620</v>
      </c>
      <c r="I46" s="18" t="s">
        <v>621</v>
      </c>
      <c r="J46" s="18" t="s">
        <v>622</v>
      </c>
      <c r="K46" s="21" t="s">
        <v>623</v>
      </c>
      <c r="L46" s="22" t="s">
        <v>624</v>
      </c>
      <c r="M46" s="23" t="s">
        <v>625</v>
      </c>
      <c r="N46" s="18" t="s">
        <v>626</v>
      </c>
      <c r="O46" s="24" t="s">
        <v>627</v>
      </c>
      <c r="P46" s="18" t="s">
        <v>628</v>
      </c>
      <c r="Q46" s="17" t="s">
        <v>1729</v>
      </c>
      <c r="R46" s="35">
        <v>46270</v>
      </c>
    </row>
    <row r="47" spans="1:18" ht="111.95" customHeight="1" x14ac:dyDescent="0.25">
      <c r="A47" s="18">
        <v>45</v>
      </c>
      <c r="B47" s="18" t="s">
        <v>614</v>
      </c>
      <c r="C47" s="18" t="s">
        <v>629</v>
      </c>
      <c r="D47" s="19" t="s">
        <v>630</v>
      </c>
      <c r="E47" s="20" t="s">
        <v>631</v>
      </c>
      <c r="F47" s="18" t="s">
        <v>632</v>
      </c>
      <c r="G47" s="18" t="s">
        <v>633</v>
      </c>
      <c r="H47" s="18" t="s">
        <v>634</v>
      </c>
      <c r="I47" s="18" t="s">
        <v>635</v>
      </c>
      <c r="J47" s="18" t="s">
        <v>636</v>
      </c>
      <c r="K47" s="21" t="s">
        <v>637</v>
      </c>
      <c r="L47" s="22" t="s">
        <v>638</v>
      </c>
      <c r="M47" s="23" t="s">
        <v>639</v>
      </c>
      <c r="N47" s="18" t="s">
        <v>626</v>
      </c>
      <c r="O47" s="24" t="s">
        <v>627</v>
      </c>
      <c r="P47" s="18" t="s">
        <v>640</v>
      </c>
      <c r="Q47" s="17" t="s">
        <v>1729</v>
      </c>
      <c r="R47" s="35">
        <v>46270</v>
      </c>
    </row>
    <row r="48" spans="1:18" ht="111.95" customHeight="1" x14ac:dyDescent="0.25">
      <c r="A48" s="18">
        <v>46</v>
      </c>
      <c r="B48" s="18" t="s">
        <v>614</v>
      </c>
      <c r="C48" s="18" t="s">
        <v>641</v>
      </c>
      <c r="D48" s="19" t="s">
        <v>631</v>
      </c>
      <c r="E48" s="20" t="s">
        <v>642</v>
      </c>
      <c r="F48" s="18" t="s">
        <v>643</v>
      </c>
      <c r="G48" s="18" t="s">
        <v>644</v>
      </c>
      <c r="H48" s="18" t="s">
        <v>645</v>
      </c>
      <c r="I48" s="18" t="s">
        <v>646</v>
      </c>
      <c r="J48" s="18" t="s">
        <v>647</v>
      </c>
      <c r="K48" s="21" t="s">
        <v>648</v>
      </c>
      <c r="L48" s="22" t="s">
        <v>649</v>
      </c>
      <c r="M48" s="23" t="s">
        <v>650</v>
      </c>
      <c r="N48" s="18" t="s">
        <v>651</v>
      </c>
      <c r="O48" s="24" t="s">
        <v>652</v>
      </c>
      <c r="P48" s="18" t="s">
        <v>653</v>
      </c>
      <c r="Q48" s="17" t="s">
        <v>1729</v>
      </c>
      <c r="R48" s="35">
        <v>46270</v>
      </c>
    </row>
    <row r="49" spans="1:18" ht="111.95" customHeight="1" x14ac:dyDescent="0.25">
      <c r="A49" s="18">
        <v>47</v>
      </c>
      <c r="B49" s="18" t="s">
        <v>614</v>
      </c>
      <c r="C49" s="18" t="s">
        <v>654</v>
      </c>
      <c r="D49" s="19" t="s">
        <v>655</v>
      </c>
      <c r="E49" s="20" t="s">
        <v>656</v>
      </c>
      <c r="F49" s="18" t="s">
        <v>657</v>
      </c>
      <c r="G49" s="18" t="s">
        <v>658</v>
      </c>
      <c r="H49" s="18" t="s">
        <v>659</v>
      </c>
      <c r="I49" s="18" t="s">
        <v>660</v>
      </c>
      <c r="J49" s="18" t="s">
        <v>661</v>
      </c>
      <c r="K49" s="21" t="s">
        <v>662</v>
      </c>
      <c r="L49" s="22" t="s">
        <v>663</v>
      </c>
      <c r="M49" s="23" t="s">
        <v>664</v>
      </c>
      <c r="N49" s="18" t="s">
        <v>651</v>
      </c>
      <c r="O49" s="24" t="s">
        <v>652</v>
      </c>
      <c r="P49" s="18" t="s">
        <v>665</v>
      </c>
      <c r="Q49" s="17" t="s">
        <v>1729</v>
      </c>
      <c r="R49" s="35">
        <v>46270</v>
      </c>
    </row>
    <row r="50" spans="1:18" ht="111.95" customHeight="1" x14ac:dyDescent="0.25">
      <c r="A50" s="18">
        <v>48</v>
      </c>
      <c r="B50" s="18" t="s">
        <v>614</v>
      </c>
      <c r="C50" s="18" t="s">
        <v>666</v>
      </c>
      <c r="D50" s="19" t="s">
        <v>667</v>
      </c>
      <c r="E50" s="20" t="s">
        <v>668</v>
      </c>
      <c r="F50" s="18" t="s">
        <v>669</v>
      </c>
      <c r="G50" s="18" t="s">
        <v>670</v>
      </c>
      <c r="H50" s="18" t="s">
        <v>671</v>
      </c>
      <c r="I50" s="18" t="s">
        <v>672</v>
      </c>
      <c r="J50" s="18" t="s">
        <v>673</v>
      </c>
      <c r="K50" s="21" t="s">
        <v>674</v>
      </c>
      <c r="L50" s="22" t="s">
        <v>675</v>
      </c>
      <c r="M50" s="23" t="s">
        <v>676</v>
      </c>
      <c r="N50" s="18" t="s">
        <v>651</v>
      </c>
      <c r="O50" s="24" t="s">
        <v>652</v>
      </c>
      <c r="P50" s="18" t="s">
        <v>677</v>
      </c>
      <c r="Q50" s="17" t="s">
        <v>1729</v>
      </c>
      <c r="R50" s="35">
        <v>46270</v>
      </c>
    </row>
    <row r="51" spans="1:18" ht="111.95" customHeight="1" x14ac:dyDescent="0.25">
      <c r="A51" s="18">
        <v>49</v>
      </c>
      <c r="B51" s="18" t="s">
        <v>614</v>
      </c>
      <c r="C51" s="18" t="s">
        <v>678</v>
      </c>
      <c r="D51" s="19" t="s">
        <v>679</v>
      </c>
      <c r="E51" s="20" t="s">
        <v>656</v>
      </c>
      <c r="F51" s="18" t="s">
        <v>680</v>
      </c>
      <c r="G51" s="18" t="s">
        <v>681</v>
      </c>
      <c r="H51" s="18" t="s">
        <v>682</v>
      </c>
      <c r="I51" s="18" t="s">
        <v>683</v>
      </c>
      <c r="J51" s="18" t="s">
        <v>684</v>
      </c>
      <c r="K51" s="21" t="s">
        <v>685</v>
      </c>
      <c r="L51" s="22" t="s">
        <v>686</v>
      </c>
      <c r="M51" s="23" t="s">
        <v>687</v>
      </c>
      <c r="N51" s="18" t="s">
        <v>651</v>
      </c>
      <c r="O51" s="24" t="s">
        <v>652</v>
      </c>
      <c r="P51" s="18" t="s">
        <v>688</v>
      </c>
      <c r="Q51" s="17" t="s">
        <v>1729</v>
      </c>
      <c r="R51" s="35">
        <v>46270</v>
      </c>
    </row>
    <row r="52" spans="1:18" ht="111.95" customHeight="1" x14ac:dyDescent="0.25">
      <c r="A52" s="18">
        <v>50</v>
      </c>
      <c r="B52" s="18" t="s">
        <v>614</v>
      </c>
      <c r="C52" s="18" t="s">
        <v>689</v>
      </c>
      <c r="D52" s="19" t="s">
        <v>690</v>
      </c>
      <c r="E52" s="20" t="s">
        <v>691</v>
      </c>
      <c r="F52" s="18" t="s">
        <v>692</v>
      </c>
      <c r="G52" s="18" t="s">
        <v>693</v>
      </c>
      <c r="H52" s="18" t="s">
        <v>694</v>
      </c>
      <c r="I52" s="18" t="s">
        <v>695</v>
      </c>
      <c r="J52" s="18" t="s">
        <v>696</v>
      </c>
      <c r="K52" s="21" t="s">
        <v>697</v>
      </c>
      <c r="L52" s="22" t="s">
        <v>698</v>
      </c>
      <c r="M52" s="23" t="s">
        <v>699</v>
      </c>
      <c r="N52" s="18" t="s">
        <v>700</v>
      </c>
      <c r="O52" s="24" t="s">
        <v>701</v>
      </c>
      <c r="P52" s="18" t="s">
        <v>702</v>
      </c>
      <c r="Q52" s="17" t="s">
        <v>1729</v>
      </c>
      <c r="R52" s="35">
        <v>46270</v>
      </c>
    </row>
    <row r="53" spans="1:18" ht="111.95" customHeight="1" x14ac:dyDescent="0.25">
      <c r="A53" s="18">
        <v>51</v>
      </c>
      <c r="B53" s="18" t="s">
        <v>614</v>
      </c>
      <c r="C53" s="18" t="s">
        <v>703</v>
      </c>
      <c r="D53" s="19" t="s">
        <v>704</v>
      </c>
      <c r="E53" s="20" t="s">
        <v>705</v>
      </c>
      <c r="F53" s="18" t="s">
        <v>706</v>
      </c>
      <c r="G53" s="18" t="s">
        <v>707</v>
      </c>
      <c r="H53" s="18" t="s">
        <v>708</v>
      </c>
      <c r="I53" s="18" t="s">
        <v>709</v>
      </c>
      <c r="J53" s="18" t="s">
        <v>710</v>
      </c>
      <c r="K53" s="21" t="s">
        <v>711</v>
      </c>
      <c r="L53" s="22" t="s">
        <v>712</v>
      </c>
      <c r="M53" s="23" t="s">
        <v>713</v>
      </c>
      <c r="N53" s="18" t="s">
        <v>700</v>
      </c>
      <c r="O53" s="24" t="s">
        <v>701</v>
      </c>
      <c r="P53" s="18" t="s">
        <v>714</v>
      </c>
      <c r="Q53" s="17" t="s">
        <v>1729</v>
      </c>
      <c r="R53" s="35">
        <v>46270</v>
      </c>
    </row>
    <row r="54" spans="1:18" ht="111.95" customHeight="1" x14ac:dyDescent="0.25">
      <c r="A54" s="18">
        <v>52</v>
      </c>
      <c r="B54" s="18" t="s">
        <v>614</v>
      </c>
      <c r="C54" s="18" t="s">
        <v>715</v>
      </c>
      <c r="D54" s="19" t="s">
        <v>716</v>
      </c>
      <c r="E54" s="20" t="s">
        <v>717</v>
      </c>
      <c r="F54" s="18" t="s">
        <v>718</v>
      </c>
      <c r="G54" s="18" t="s">
        <v>719</v>
      </c>
      <c r="H54" s="18" t="s">
        <v>720</v>
      </c>
      <c r="I54" s="18" t="s">
        <v>721</v>
      </c>
      <c r="J54" s="18" t="s">
        <v>722</v>
      </c>
      <c r="K54" s="21" t="s">
        <v>723</v>
      </c>
      <c r="L54" s="22" t="s">
        <v>724</v>
      </c>
      <c r="M54" s="23" t="s">
        <v>725</v>
      </c>
      <c r="N54" s="18" t="s">
        <v>726</v>
      </c>
      <c r="O54" s="24" t="s">
        <v>727</v>
      </c>
      <c r="P54" s="18" t="s">
        <v>728</v>
      </c>
      <c r="Q54" s="17" t="s">
        <v>1729</v>
      </c>
      <c r="R54" s="35">
        <v>46270</v>
      </c>
    </row>
    <row r="55" spans="1:18" ht="111.95" customHeight="1" x14ac:dyDescent="0.25">
      <c r="A55" s="18">
        <v>53</v>
      </c>
      <c r="B55" s="18" t="s">
        <v>614</v>
      </c>
      <c r="C55" s="18" t="s">
        <v>729</v>
      </c>
      <c r="D55" s="19" t="s">
        <v>730</v>
      </c>
      <c r="E55" s="20" t="s">
        <v>731</v>
      </c>
      <c r="F55" s="18" t="s">
        <v>732</v>
      </c>
      <c r="G55" s="18" t="s">
        <v>733</v>
      </c>
      <c r="H55" s="18" t="s">
        <v>734</v>
      </c>
      <c r="I55" s="18" t="s">
        <v>735</v>
      </c>
      <c r="J55" s="18" t="s">
        <v>736</v>
      </c>
      <c r="K55" s="21" t="s">
        <v>737</v>
      </c>
      <c r="L55" s="22" t="s">
        <v>738</v>
      </c>
      <c r="M55" s="23" t="s">
        <v>739</v>
      </c>
      <c r="N55" s="18" t="s">
        <v>726</v>
      </c>
      <c r="O55" s="24" t="s">
        <v>727</v>
      </c>
      <c r="P55" s="18" t="s">
        <v>740</v>
      </c>
      <c r="Q55" s="17" t="s">
        <v>1729</v>
      </c>
      <c r="R55" s="35">
        <v>46270</v>
      </c>
    </row>
    <row r="56" spans="1:18" ht="111.95" customHeight="1" x14ac:dyDescent="0.25">
      <c r="A56" s="18">
        <v>54</v>
      </c>
      <c r="B56" s="18" t="s">
        <v>614</v>
      </c>
      <c r="C56" s="18" t="s">
        <v>741</v>
      </c>
      <c r="D56" s="19" t="s">
        <v>742</v>
      </c>
      <c r="E56" s="20" t="s">
        <v>743</v>
      </c>
      <c r="F56" s="18" t="s">
        <v>744</v>
      </c>
      <c r="G56" s="18" t="s">
        <v>745</v>
      </c>
      <c r="H56" s="18" t="s">
        <v>746</v>
      </c>
      <c r="I56" s="18" t="s">
        <v>747</v>
      </c>
      <c r="J56" s="18" t="s">
        <v>748</v>
      </c>
      <c r="K56" s="21" t="s">
        <v>749</v>
      </c>
      <c r="L56" s="22" t="s">
        <v>750</v>
      </c>
      <c r="M56" s="23" t="s">
        <v>751</v>
      </c>
      <c r="N56" s="18" t="s">
        <v>726</v>
      </c>
      <c r="O56" s="24" t="s">
        <v>727</v>
      </c>
      <c r="P56" s="18" t="s">
        <v>752</v>
      </c>
      <c r="Q56" s="17" t="s">
        <v>1729</v>
      </c>
      <c r="R56" s="35">
        <v>46270</v>
      </c>
    </row>
    <row r="57" spans="1:18" ht="111.95" customHeight="1" x14ac:dyDescent="0.25">
      <c r="A57" s="18">
        <v>55</v>
      </c>
      <c r="B57" s="18" t="s">
        <v>614</v>
      </c>
      <c r="C57" s="18" t="s">
        <v>753</v>
      </c>
      <c r="D57" s="19" t="s">
        <v>754</v>
      </c>
      <c r="E57" s="20" t="s">
        <v>755</v>
      </c>
      <c r="F57" s="18" t="s">
        <v>756</v>
      </c>
      <c r="G57" s="18" t="s">
        <v>757</v>
      </c>
      <c r="H57" s="18" t="s">
        <v>758</v>
      </c>
      <c r="I57" s="18" t="s">
        <v>759</v>
      </c>
      <c r="J57" s="18" t="s">
        <v>760</v>
      </c>
      <c r="K57" s="21" t="s">
        <v>761</v>
      </c>
      <c r="L57" s="22" t="s">
        <v>762</v>
      </c>
      <c r="M57" s="23" t="s">
        <v>763</v>
      </c>
      <c r="N57" s="18" t="s">
        <v>764</v>
      </c>
      <c r="O57" s="24" t="s">
        <v>765</v>
      </c>
      <c r="P57" s="18" t="s">
        <v>766</v>
      </c>
      <c r="Q57" s="17" t="s">
        <v>1729</v>
      </c>
      <c r="R57" s="35">
        <v>46270</v>
      </c>
    </row>
    <row r="58" spans="1:18" ht="111.95" customHeight="1" x14ac:dyDescent="0.25">
      <c r="A58" s="18">
        <v>56</v>
      </c>
      <c r="B58" s="18" t="s">
        <v>614</v>
      </c>
      <c r="C58" s="18" t="s">
        <v>767</v>
      </c>
      <c r="D58" s="19" t="s">
        <v>768</v>
      </c>
      <c r="E58" s="20" t="s">
        <v>769</v>
      </c>
      <c r="F58" s="18" t="s">
        <v>770</v>
      </c>
      <c r="G58" s="18" t="s">
        <v>771</v>
      </c>
      <c r="H58" s="18" t="s">
        <v>772</v>
      </c>
      <c r="I58" s="18" t="s">
        <v>773</v>
      </c>
      <c r="J58" s="18" t="s">
        <v>774</v>
      </c>
      <c r="K58" s="21" t="s">
        <v>775</v>
      </c>
      <c r="L58" s="22" t="s">
        <v>776</v>
      </c>
      <c r="M58" s="23" t="s">
        <v>777</v>
      </c>
      <c r="N58" s="18" t="s">
        <v>764</v>
      </c>
      <c r="O58" s="24" t="s">
        <v>765</v>
      </c>
      <c r="P58" s="18" t="s">
        <v>778</v>
      </c>
      <c r="Q58" s="17" t="s">
        <v>1729</v>
      </c>
      <c r="R58" s="35">
        <v>46270</v>
      </c>
    </row>
    <row r="59" spans="1:18" ht="111.95" customHeight="1" x14ac:dyDescent="0.25">
      <c r="A59" s="18">
        <v>57</v>
      </c>
      <c r="B59" s="18" t="s">
        <v>614</v>
      </c>
      <c r="C59" s="18" t="s">
        <v>779</v>
      </c>
      <c r="D59" s="19" t="s">
        <v>780</v>
      </c>
      <c r="E59" s="20" t="s">
        <v>781</v>
      </c>
      <c r="F59" s="18" t="s">
        <v>782</v>
      </c>
      <c r="G59" s="18" t="s">
        <v>783</v>
      </c>
      <c r="H59" s="18" t="s">
        <v>784</v>
      </c>
      <c r="I59" s="18" t="s">
        <v>785</v>
      </c>
      <c r="J59" s="18" t="s">
        <v>786</v>
      </c>
      <c r="K59" s="21" t="s">
        <v>787</v>
      </c>
      <c r="L59" s="22" t="s">
        <v>788</v>
      </c>
      <c r="M59" s="23" t="s">
        <v>789</v>
      </c>
      <c r="N59" s="18" t="s">
        <v>790</v>
      </c>
      <c r="O59" s="24" t="s">
        <v>791</v>
      </c>
      <c r="P59" s="18" t="s">
        <v>792</v>
      </c>
      <c r="Q59" s="17" t="s">
        <v>1729</v>
      </c>
      <c r="R59" s="35">
        <v>46270</v>
      </c>
    </row>
    <row r="60" spans="1:18" ht="111.95" customHeight="1" x14ac:dyDescent="0.25">
      <c r="A60" s="18">
        <v>58</v>
      </c>
      <c r="B60" s="18" t="s">
        <v>793</v>
      </c>
      <c r="C60" s="18" t="s">
        <v>794</v>
      </c>
      <c r="D60" s="19" t="s">
        <v>795</v>
      </c>
      <c r="E60" s="20" t="s">
        <v>796</v>
      </c>
      <c r="F60" s="18" t="s">
        <v>797</v>
      </c>
      <c r="G60" s="18" t="s">
        <v>798</v>
      </c>
      <c r="H60" s="18" t="s">
        <v>799</v>
      </c>
      <c r="I60" s="18" t="s">
        <v>800</v>
      </c>
      <c r="J60" s="18" t="s">
        <v>801</v>
      </c>
      <c r="K60" s="21" t="s">
        <v>802</v>
      </c>
      <c r="L60" s="22" t="s">
        <v>803</v>
      </c>
      <c r="M60" s="23" t="s">
        <v>804</v>
      </c>
      <c r="N60" s="18" t="s">
        <v>805</v>
      </c>
      <c r="O60" s="24" t="s">
        <v>806</v>
      </c>
      <c r="P60" s="18" t="s">
        <v>807</v>
      </c>
      <c r="Q60" s="17" t="s">
        <v>1729</v>
      </c>
      <c r="R60" s="35">
        <v>46270</v>
      </c>
    </row>
    <row r="61" spans="1:18" ht="111.95" customHeight="1" x14ac:dyDescent="0.25">
      <c r="A61" s="18">
        <v>59</v>
      </c>
      <c r="B61" s="18" t="s">
        <v>793</v>
      </c>
      <c r="C61" s="18" t="s">
        <v>808</v>
      </c>
      <c r="D61" s="19" t="s">
        <v>809</v>
      </c>
      <c r="E61" s="20" t="s">
        <v>810</v>
      </c>
      <c r="F61" s="18" t="s">
        <v>811</v>
      </c>
      <c r="G61" s="18" t="s">
        <v>812</v>
      </c>
      <c r="H61" s="18" t="s">
        <v>813</v>
      </c>
      <c r="I61" s="18" t="s">
        <v>814</v>
      </c>
      <c r="J61" s="18" t="s">
        <v>815</v>
      </c>
      <c r="K61" s="21" t="s">
        <v>816</v>
      </c>
      <c r="L61" s="22" t="s">
        <v>817</v>
      </c>
      <c r="M61" s="23" t="s">
        <v>818</v>
      </c>
      <c r="N61" s="18" t="s">
        <v>819</v>
      </c>
      <c r="O61" s="24" t="s">
        <v>806</v>
      </c>
      <c r="P61" s="18" t="s">
        <v>820</v>
      </c>
      <c r="Q61" s="17" t="s">
        <v>1729</v>
      </c>
      <c r="R61" s="35">
        <v>46270</v>
      </c>
    </row>
    <row r="62" spans="1:18" ht="111.95" customHeight="1" x14ac:dyDescent="0.25">
      <c r="A62" s="18">
        <v>60</v>
      </c>
      <c r="B62" s="18" t="s">
        <v>793</v>
      </c>
      <c r="C62" s="18" t="s">
        <v>821</v>
      </c>
      <c r="D62" s="19" t="s">
        <v>822</v>
      </c>
      <c r="E62" s="20" t="s">
        <v>823</v>
      </c>
      <c r="F62" s="18" t="s">
        <v>824</v>
      </c>
      <c r="G62" s="18" t="s">
        <v>825</v>
      </c>
      <c r="H62" s="18" t="s">
        <v>826</v>
      </c>
      <c r="I62" s="18" t="s">
        <v>827</v>
      </c>
      <c r="J62" s="18" t="s">
        <v>828</v>
      </c>
      <c r="K62" s="21" t="s">
        <v>829</v>
      </c>
      <c r="L62" s="22" t="s">
        <v>830</v>
      </c>
      <c r="M62" s="23" t="s">
        <v>831</v>
      </c>
      <c r="N62" s="18" t="s">
        <v>805</v>
      </c>
      <c r="O62" s="24" t="s">
        <v>832</v>
      </c>
      <c r="P62" s="18" t="s">
        <v>833</v>
      </c>
      <c r="Q62" s="17" t="s">
        <v>1729</v>
      </c>
      <c r="R62" s="35">
        <v>46270</v>
      </c>
    </row>
    <row r="63" spans="1:18" ht="111.95" customHeight="1" x14ac:dyDescent="0.25">
      <c r="A63" s="18">
        <v>61</v>
      </c>
      <c r="B63" s="18" t="s">
        <v>793</v>
      </c>
      <c r="C63" s="18" t="s">
        <v>834</v>
      </c>
      <c r="D63" s="19" t="s">
        <v>835</v>
      </c>
      <c r="E63" s="20" t="s">
        <v>836</v>
      </c>
      <c r="F63" s="18" t="s">
        <v>837</v>
      </c>
      <c r="G63" s="18" t="s">
        <v>838</v>
      </c>
      <c r="H63" s="18" t="s">
        <v>839</v>
      </c>
      <c r="I63" s="18" t="s">
        <v>840</v>
      </c>
      <c r="J63" s="18" t="s">
        <v>841</v>
      </c>
      <c r="K63" s="21" t="s">
        <v>842</v>
      </c>
      <c r="L63" s="22" t="s">
        <v>843</v>
      </c>
      <c r="M63" s="23" t="s">
        <v>844</v>
      </c>
      <c r="N63" s="18" t="s">
        <v>845</v>
      </c>
      <c r="O63" s="24" t="s">
        <v>846</v>
      </c>
      <c r="P63" s="18" t="s">
        <v>847</v>
      </c>
      <c r="Q63" s="17" t="s">
        <v>1729</v>
      </c>
      <c r="R63" s="35">
        <v>46270</v>
      </c>
    </row>
    <row r="64" spans="1:18" ht="111.95" customHeight="1" x14ac:dyDescent="0.25">
      <c r="A64" s="18">
        <v>62</v>
      </c>
      <c r="B64" s="18" t="s">
        <v>793</v>
      </c>
      <c r="C64" s="18" t="s">
        <v>848</v>
      </c>
      <c r="D64" s="19" t="s">
        <v>849</v>
      </c>
      <c r="E64" s="20" t="s">
        <v>850</v>
      </c>
      <c r="F64" s="18" t="s">
        <v>851</v>
      </c>
      <c r="G64" s="18" t="s">
        <v>852</v>
      </c>
      <c r="H64" s="18" t="s">
        <v>853</v>
      </c>
      <c r="I64" s="18" t="s">
        <v>854</v>
      </c>
      <c r="J64" s="18" t="s">
        <v>855</v>
      </c>
      <c r="K64" s="21" t="s">
        <v>856</v>
      </c>
      <c r="L64" s="22" t="s">
        <v>857</v>
      </c>
      <c r="M64" s="23" t="s">
        <v>858</v>
      </c>
      <c r="N64" s="18" t="s">
        <v>859</v>
      </c>
      <c r="O64" s="24" t="s">
        <v>860</v>
      </c>
      <c r="P64" s="18" t="s">
        <v>861</v>
      </c>
      <c r="Q64" s="17" t="s">
        <v>1729</v>
      </c>
      <c r="R64" s="35">
        <v>46270</v>
      </c>
    </row>
    <row r="65" spans="1:18" ht="111.95" customHeight="1" x14ac:dyDescent="0.25">
      <c r="A65" s="18">
        <v>63</v>
      </c>
      <c r="B65" s="18" t="s">
        <v>793</v>
      </c>
      <c r="C65" s="18" t="s">
        <v>862</v>
      </c>
      <c r="D65" s="19" t="s">
        <v>863</v>
      </c>
      <c r="E65" s="20" t="s">
        <v>864</v>
      </c>
      <c r="F65" s="18" t="s">
        <v>865</v>
      </c>
      <c r="G65" s="18" t="s">
        <v>866</v>
      </c>
      <c r="H65" s="18" t="s">
        <v>867</v>
      </c>
      <c r="I65" s="18" t="s">
        <v>868</v>
      </c>
      <c r="J65" s="18" t="s">
        <v>869</v>
      </c>
      <c r="K65" s="21" t="s">
        <v>870</v>
      </c>
      <c r="L65" s="22" t="s">
        <v>871</v>
      </c>
      <c r="M65" s="23" t="s">
        <v>872</v>
      </c>
      <c r="N65" s="18" t="s">
        <v>859</v>
      </c>
      <c r="O65" s="24" t="s">
        <v>860</v>
      </c>
      <c r="P65" s="18" t="s">
        <v>873</v>
      </c>
      <c r="Q65" s="17" t="s">
        <v>1729</v>
      </c>
      <c r="R65" s="35">
        <v>46270</v>
      </c>
    </row>
    <row r="66" spans="1:18" ht="111.95" customHeight="1" x14ac:dyDescent="0.25">
      <c r="A66" s="18">
        <v>64</v>
      </c>
      <c r="B66" s="18" t="s">
        <v>793</v>
      </c>
      <c r="C66" s="18" t="s">
        <v>874</v>
      </c>
      <c r="D66" s="19" t="s">
        <v>875</v>
      </c>
      <c r="E66" s="20" t="s">
        <v>876</v>
      </c>
      <c r="F66" s="18" t="s">
        <v>877</v>
      </c>
      <c r="G66" s="18" t="s">
        <v>878</v>
      </c>
      <c r="H66" s="18" t="s">
        <v>879</v>
      </c>
      <c r="I66" s="18" t="s">
        <v>880</v>
      </c>
      <c r="J66" s="18" t="s">
        <v>881</v>
      </c>
      <c r="K66" s="21" t="s">
        <v>882</v>
      </c>
      <c r="L66" s="22" t="s">
        <v>883</v>
      </c>
      <c r="M66" s="23" t="s">
        <v>884</v>
      </c>
      <c r="N66" s="18" t="s">
        <v>859</v>
      </c>
      <c r="O66" s="24" t="s">
        <v>860</v>
      </c>
      <c r="P66" s="18" t="s">
        <v>885</v>
      </c>
      <c r="Q66" s="17" t="s">
        <v>1729</v>
      </c>
      <c r="R66" s="35">
        <v>46270</v>
      </c>
    </row>
    <row r="67" spans="1:18" ht="111.95" customHeight="1" x14ac:dyDescent="0.25">
      <c r="A67" s="18">
        <v>65</v>
      </c>
      <c r="B67" s="18" t="s">
        <v>793</v>
      </c>
      <c r="C67" s="18" t="s">
        <v>886</v>
      </c>
      <c r="D67" s="19" t="s">
        <v>887</v>
      </c>
      <c r="E67" s="20" t="s">
        <v>888</v>
      </c>
      <c r="F67" s="18" t="s">
        <v>889</v>
      </c>
      <c r="G67" s="18" t="s">
        <v>890</v>
      </c>
      <c r="H67" s="18" t="s">
        <v>891</v>
      </c>
      <c r="I67" s="18" t="s">
        <v>892</v>
      </c>
      <c r="J67" s="18" t="s">
        <v>893</v>
      </c>
      <c r="K67" s="21" t="s">
        <v>894</v>
      </c>
      <c r="L67" s="22" t="s">
        <v>895</v>
      </c>
      <c r="M67" s="23" t="s">
        <v>896</v>
      </c>
      <c r="N67" s="18" t="s">
        <v>859</v>
      </c>
      <c r="O67" s="24" t="s">
        <v>860</v>
      </c>
      <c r="P67" s="18" t="s">
        <v>897</v>
      </c>
      <c r="Q67" s="17" t="s">
        <v>1729</v>
      </c>
      <c r="R67" s="35">
        <v>46270</v>
      </c>
    </row>
    <row r="68" spans="1:18" ht="111.95" customHeight="1" x14ac:dyDescent="0.25">
      <c r="A68" s="18">
        <v>66</v>
      </c>
      <c r="B68" s="18" t="s">
        <v>793</v>
      </c>
      <c r="C68" s="18" t="s">
        <v>898</v>
      </c>
      <c r="D68" s="19" t="s">
        <v>899</v>
      </c>
      <c r="E68" s="20" t="s">
        <v>900</v>
      </c>
      <c r="F68" s="18" t="s">
        <v>901</v>
      </c>
      <c r="G68" s="18" t="s">
        <v>902</v>
      </c>
      <c r="H68" s="18" t="s">
        <v>903</v>
      </c>
      <c r="I68" s="18" t="s">
        <v>904</v>
      </c>
      <c r="J68" s="18" t="s">
        <v>905</v>
      </c>
      <c r="K68" s="21" t="s">
        <v>906</v>
      </c>
      <c r="L68" s="22" t="s">
        <v>907</v>
      </c>
      <c r="M68" s="23" t="s">
        <v>908</v>
      </c>
      <c r="N68" s="18" t="s">
        <v>859</v>
      </c>
      <c r="O68" s="24" t="s">
        <v>860</v>
      </c>
      <c r="P68" s="18" t="s">
        <v>909</v>
      </c>
      <c r="Q68" s="17" t="s">
        <v>1729</v>
      </c>
      <c r="R68" s="35">
        <v>46270</v>
      </c>
    </row>
    <row r="69" spans="1:18" ht="111.95" customHeight="1" x14ac:dyDescent="0.25">
      <c r="A69" s="18">
        <v>67</v>
      </c>
      <c r="B69" s="18" t="s">
        <v>793</v>
      </c>
      <c r="C69" s="18" t="s">
        <v>910</v>
      </c>
      <c r="D69" s="19" t="s">
        <v>911</v>
      </c>
      <c r="E69" s="20" t="s">
        <v>912</v>
      </c>
      <c r="F69" s="18" t="s">
        <v>913</v>
      </c>
      <c r="G69" s="18" t="s">
        <v>914</v>
      </c>
      <c r="H69" s="18" t="s">
        <v>915</v>
      </c>
      <c r="I69" s="18" t="s">
        <v>916</v>
      </c>
      <c r="J69" s="18" t="s">
        <v>917</v>
      </c>
      <c r="K69" s="21" t="s">
        <v>918</v>
      </c>
      <c r="L69" s="22" t="s">
        <v>919</v>
      </c>
      <c r="M69" s="23" t="s">
        <v>920</v>
      </c>
      <c r="N69" s="18" t="s">
        <v>921</v>
      </c>
      <c r="O69" s="24" t="s">
        <v>832</v>
      </c>
      <c r="P69" s="18" t="s">
        <v>922</v>
      </c>
      <c r="Q69" s="17" t="s">
        <v>1729</v>
      </c>
      <c r="R69" s="35">
        <v>46270</v>
      </c>
    </row>
    <row r="70" spans="1:18" ht="111.95" customHeight="1" x14ac:dyDescent="0.25">
      <c r="A70" s="18">
        <v>68</v>
      </c>
      <c r="B70" s="18" t="s">
        <v>793</v>
      </c>
      <c r="C70" s="18" t="s">
        <v>923</v>
      </c>
      <c r="D70" s="19" t="s">
        <v>924</v>
      </c>
      <c r="E70" s="20" t="s">
        <v>822</v>
      </c>
      <c r="F70" s="18" t="s">
        <v>925</v>
      </c>
      <c r="G70" s="18" t="s">
        <v>926</v>
      </c>
      <c r="H70" s="18" t="s">
        <v>927</v>
      </c>
      <c r="I70" s="18" t="s">
        <v>928</v>
      </c>
      <c r="J70" s="18" t="s">
        <v>929</v>
      </c>
      <c r="K70" s="21" t="s">
        <v>930</v>
      </c>
      <c r="L70" s="22" t="s">
        <v>931</v>
      </c>
      <c r="M70" s="23" t="s">
        <v>932</v>
      </c>
      <c r="N70" s="18" t="s">
        <v>921</v>
      </c>
      <c r="O70" s="24" t="s">
        <v>832</v>
      </c>
      <c r="P70" s="18" t="s">
        <v>933</v>
      </c>
      <c r="Q70" s="17" t="s">
        <v>1729</v>
      </c>
      <c r="R70" s="35">
        <v>46270</v>
      </c>
    </row>
    <row r="71" spans="1:18" ht="111.95" customHeight="1" x14ac:dyDescent="0.25">
      <c r="A71" s="18">
        <v>69</v>
      </c>
      <c r="B71" s="18" t="s">
        <v>793</v>
      </c>
      <c r="C71" s="18" t="s">
        <v>934</v>
      </c>
      <c r="D71" s="19" t="s">
        <v>935</v>
      </c>
      <c r="E71" s="20" t="s">
        <v>936</v>
      </c>
      <c r="F71" s="18" t="s">
        <v>937</v>
      </c>
      <c r="G71" s="18" t="s">
        <v>938</v>
      </c>
      <c r="H71" s="18" t="s">
        <v>939</v>
      </c>
      <c r="I71" s="18" t="s">
        <v>940</v>
      </c>
      <c r="J71" s="18" t="s">
        <v>941</v>
      </c>
      <c r="K71" s="21" t="s">
        <v>942</v>
      </c>
      <c r="L71" s="22" t="s">
        <v>943</v>
      </c>
      <c r="M71" s="23" t="s">
        <v>944</v>
      </c>
      <c r="N71" s="18" t="s">
        <v>945</v>
      </c>
      <c r="O71" s="24" t="s">
        <v>946</v>
      </c>
      <c r="P71" s="18" t="s">
        <v>947</v>
      </c>
      <c r="Q71" s="17" t="s">
        <v>1729</v>
      </c>
      <c r="R71" s="35">
        <v>46270</v>
      </c>
    </row>
    <row r="72" spans="1:18" ht="111.95" customHeight="1" x14ac:dyDescent="0.25">
      <c r="A72" s="18">
        <v>70</v>
      </c>
      <c r="B72" s="18" t="s">
        <v>793</v>
      </c>
      <c r="C72" s="18" t="s">
        <v>948</v>
      </c>
      <c r="D72" s="19" t="s">
        <v>949</v>
      </c>
      <c r="E72" s="20" t="s">
        <v>950</v>
      </c>
      <c r="F72" s="18" t="s">
        <v>951</v>
      </c>
      <c r="G72" s="18" t="s">
        <v>952</v>
      </c>
      <c r="H72" s="18" t="s">
        <v>953</v>
      </c>
      <c r="I72" s="18" t="s">
        <v>954</v>
      </c>
      <c r="J72" s="18" t="s">
        <v>955</v>
      </c>
      <c r="K72" s="21" t="s">
        <v>956</v>
      </c>
      <c r="L72" s="22" t="s">
        <v>957</v>
      </c>
      <c r="M72" s="23" t="s">
        <v>958</v>
      </c>
      <c r="N72" s="18" t="s">
        <v>945</v>
      </c>
      <c r="O72" s="24" t="s">
        <v>946</v>
      </c>
      <c r="P72" s="18" t="s">
        <v>959</v>
      </c>
      <c r="Q72" s="17" t="s">
        <v>1729</v>
      </c>
      <c r="R72" s="35">
        <v>46270</v>
      </c>
    </row>
    <row r="73" spans="1:18" ht="111.95" customHeight="1" x14ac:dyDescent="0.25">
      <c r="A73" s="18">
        <v>71</v>
      </c>
      <c r="B73" s="18" t="s">
        <v>793</v>
      </c>
      <c r="C73" s="18" t="s">
        <v>960</v>
      </c>
      <c r="D73" s="19" t="s">
        <v>961</v>
      </c>
      <c r="E73" s="20" t="s">
        <v>962</v>
      </c>
      <c r="F73" s="18" t="s">
        <v>963</v>
      </c>
      <c r="G73" s="18" t="s">
        <v>964</v>
      </c>
      <c r="H73" s="18" t="s">
        <v>965</v>
      </c>
      <c r="I73" s="18" t="s">
        <v>966</v>
      </c>
      <c r="J73" s="18" t="s">
        <v>967</v>
      </c>
      <c r="K73" s="21" t="s">
        <v>968</v>
      </c>
      <c r="L73" s="22" t="s">
        <v>969</v>
      </c>
      <c r="M73" s="23" t="s">
        <v>970</v>
      </c>
      <c r="N73" s="18" t="s">
        <v>945</v>
      </c>
      <c r="O73" s="24" t="s">
        <v>946</v>
      </c>
      <c r="P73" s="18" t="s">
        <v>971</v>
      </c>
      <c r="Q73" s="17" t="s">
        <v>1729</v>
      </c>
      <c r="R73" s="35">
        <v>46270</v>
      </c>
    </row>
    <row r="74" spans="1:18" ht="111.95" customHeight="1" x14ac:dyDescent="0.25">
      <c r="A74" s="18">
        <v>72</v>
      </c>
      <c r="B74" s="18" t="s">
        <v>793</v>
      </c>
      <c r="C74" s="18" t="s">
        <v>972</v>
      </c>
      <c r="D74" s="19" t="s">
        <v>973</v>
      </c>
      <c r="E74" s="20" t="s">
        <v>974</v>
      </c>
      <c r="F74" s="18" t="s">
        <v>975</v>
      </c>
      <c r="G74" s="18" t="s">
        <v>976</v>
      </c>
      <c r="H74" s="18" t="s">
        <v>977</v>
      </c>
      <c r="I74" s="18" t="s">
        <v>978</v>
      </c>
      <c r="J74" s="18" t="s">
        <v>979</v>
      </c>
      <c r="K74" s="21" t="s">
        <v>980</v>
      </c>
      <c r="L74" s="22" t="s">
        <v>981</v>
      </c>
      <c r="M74" s="23" t="s">
        <v>982</v>
      </c>
      <c r="N74" s="18" t="s">
        <v>945</v>
      </c>
      <c r="O74" s="24" t="s">
        <v>946</v>
      </c>
      <c r="P74" s="18" t="s">
        <v>983</v>
      </c>
      <c r="Q74" s="17" t="s">
        <v>1729</v>
      </c>
      <c r="R74" s="35">
        <v>46270</v>
      </c>
    </row>
    <row r="75" spans="1:18" ht="111.95" customHeight="1" x14ac:dyDescent="0.25">
      <c r="A75" s="18">
        <v>73</v>
      </c>
      <c r="B75" s="18" t="s">
        <v>793</v>
      </c>
      <c r="C75" s="18" t="s">
        <v>984</v>
      </c>
      <c r="D75" s="19" t="s">
        <v>985</v>
      </c>
      <c r="E75" s="20" t="s">
        <v>986</v>
      </c>
      <c r="F75" s="18" t="s">
        <v>987</v>
      </c>
      <c r="G75" s="18" t="s">
        <v>988</v>
      </c>
      <c r="H75" s="18" t="s">
        <v>989</v>
      </c>
      <c r="I75" s="18" t="s">
        <v>990</v>
      </c>
      <c r="J75" s="18" t="s">
        <v>991</v>
      </c>
      <c r="K75" s="21" t="s">
        <v>992</v>
      </c>
      <c r="L75" s="22" t="s">
        <v>993</v>
      </c>
      <c r="M75" s="23" t="s">
        <v>994</v>
      </c>
      <c r="N75" s="18" t="s">
        <v>945</v>
      </c>
      <c r="O75" s="24" t="s">
        <v>946</v>
      </c>
      <c r="P75" s="18" t="s">
        <v>995</v>
      </c>
      <c r="Q75" s="17" t="s">
        <v>1729</v>
      </c>
      <c r="R75" s="35">
        <v>46270</v>
      </c>
    </row>
    <row r="76" spans="1:18" ht="111.95" customHeight="1" x14ac:dyDescent="0.25">
      <c r="A76" s="18">
        <v>74</v>
      </c>
      <c r="B76" s="18" t="s">
        <v>793</v>
      </c>
      <c r="C76" s="18" t="s">
        <v>996</v>
      </c>
      <c r="D76" s="19" t="s">
        <v>997</v>
      </c>
      <c r="E76" s="20" t="s">
        <v>998</v>
      </c>
      <c r="F76" s="18" t="s">
        <v>999</v>
      </c>
      <c r="G76" s="18" t="s">
        <v>1000</v>
      </c>
      <c r="H76" s="18" t="s">
        <v>1001</v>
      </c>
      <c r="I76" s="18" t="s">
        <v>1002</v>
      </c>
      <c r="J76" s="18" t="s">
        <v>1003</v>
      </c>
      <c r="K76" s="21" t="s">
        <v>1004</v>
      </c>
      <c r="L76" s="22" t="s">
        <v>1005</v>
      </c>
      <c r="M76" s="23" t="s">
        <v>1006</v>
      </c>
      <c r="N76" s="18" t="s">
        <v>945</v>
      </c>
      <c r="O76" s="24" t="s">
        <v>946</v>
      </c>
      <c r="P76" s="18" t="s">
        <v>1007</v>
      </c>
      <c r="Q76" s="17" t="s">
        <v>1729</v>
      </c>
      <c r="R76" s="35">
        <v>46270</v>
      </c>
    </row>
    <row r="77" spans="1:18" ht="111.95" customHeight="1" x14ac:dyDescent="0.25">
      <c r="A77" s="18">
        <v>75</v>
      </c>
      <c r="B77" s="18" t="s">
        <v>793</v>
      </c>
      <c r="C77" s="18" t="s">
        <v>1008</v>
      </c>
      <c r="D77" s="19" t="s">
        <v>1009</v>
      </c>
      <c r="E77" s="20" t="s">
        <v>974</v>
      </c>
      <c r="F77" s="18" t="s">
        <v>1010</v>
      </c>
      <c r="G77" s="18" t="s">
        <v>1011</v>
      </c>
      <c r="H77" s="18" t="s">
        <v>1012</v>
      </c>
      <c r="I77" s="18" t="s">
        <v>1013</v>
      </c>
      <c r="J77" s="18" t="s">
        <v>1014</v>
      </c>
      <c r="K77" s="21" t="s">
        <v>1015</v>
      </c>
      <c r="L77" s="22" t="s">
        <v>1016</v>
      </c>
      <c r="M77" s="23" t="s">
        <v>1017</v>
      </c>
      <c r="N77" s="18" t="s">
        <v>945</v>
      </c>
      <c r="O77" s="24" t="s">
        <v>946</v>
      </c>
      <c r="P77" s="18" t="s">
        <v>1018</v>
      </c>
      <c r="Q77" s="17" t="s">
        <v>1729</v>
      </c>
      <c r="R77" s="35">
        <v>46270</v>
      </c>
    </row>
    <row r="78" spans="1:18" ht="111.95" customHeight="1" x14ac:dyDescent="0.25">
      <c r="A78" s="18">
        <v>76</v>
      </c>
      <c r="B78" s="18" t="s">
        <v>793</v>
      </c>
      <c r="C78" s="18" t="s">
        <v>1019</v>
      </c>
      <c r="D78" s="19" t="s">
        <v>1020</v>
      </c>
      <c r="E78" s="20" t="s">
        <v>1021</v>
      </c>
      <c r="F78" s="18" t="s">
        <v>1022</v>
      </c>
      <c r="G78" s="18" t="s">
        <v>1023</v>
      </c>
      <c r="H78" s="18" t="s">
        <v>1024</v>
      </c>
      <c r="I78" s="18" t="s">
        <v>1025</v>
      </c>
      <c r="J78" s="18" t="s">
        <v>1026</v>
      </c>
      <c r="K78" s="21" t="s">
        <v>1027</v>
      </c>
      <c r="L78" s="22" t="s">
        <v>1028</v>
      </c>
      <c r="M78" s="23" t="s">
        <v>1029</v>
      </c>
      <c r="N78" s="18" t="s">
        <v>945</v>
      </c>
      <c r="O78" s="24" t="s">
        <v>946</v>
      </c>
      <c r="P78" s="18" t="s">
        <v>1030</v>
      </c>
      <c r="Q78" s="17" t="s">
        <v>1729</v>
      </c>
      <c r="R78" s="35">
        <v>46270</v>
      </c>
    </row>
    <row r="79" spans="1:18" ht="111.95" customHeight="1" x14ac:dyDescent="0.25">
      <c r="A79" s="18">
        <v>77</v>
      </c>
      <c r="B79" s="18" t="s">
        <v>793</v>
      </c>
      <c r="C79" s="18" t="s">
        <v>1031</v>
      </c>
      <c r="D79" s="19" t="s">
        <v>849</v>
      </c>
      <c r="E79" s="20" t="s">
        <v>1032</v>
      </c>
      <c r="F79" s="18" t="s">
        <v>1033</v>
      </c>
      <c r="G79" s="18" t="s">
        <v>1034</v>
      </c>
      <c r="H79" s="18" t="s">
        <v>1035</v>
      </c>
      <c r="I79" s="18" t="s">
        <v>1036</v>
      </c>
      <c r="J79" s="18" t="s">
        <v>1037</v>
      </c>
      <c r="K79" s="21" t="s">
        <v>1038</v>
      </c>
      <c r="L79" s="22" t="s">
        <v>1039</v>
      </c>
      <c r="M79" s="23" t="s">
        <v>1040</v>
      </c>
      <c r="N79" s="18" t="s">
        <v>1041</v>
      </c>
      <c r="O79" s="24" t="s">
        <v>1042</v>
      </c>
      <c r="P79" s="18" t="s">
        <v>1043</v>
      </c>
      <c r="Q79" s="17" t="s">
        <v>1729</v>
      </c>
      <c r="R79" s="35">
        <v>46270</v>
      </c>
    </row>
    <row r="80" spans="1:18" ht="111.95" customHeight="1" x14ac:dyDescent="0.25">
      <c r="A80" s="18">
        <v>78</v>
      </c>
      <c r="B80" s="18" t="s">
        <v>1044</v>
      </c>
      <c r="C80" s="18" t="s">
        <v>1045</v>
      </c>
      <c r="D80" s="19" t="s">
        <v>1046</v>
      </c>
      <c r="E80" s="20" t="s">
        <v>1047</v>
      </c>
      <c r="F80" s="18" t="s">
        <v>1048</v>
      </c>
      <c r="G80" s="18" t="s">
        <v>1049</v>
      </c>
      <c r="H80" s="18" t="s">
        <v>1050</v>
      </c>
      <c r="I80" s="18" t="s">
        <v>1051</v>
      </c>
      <c r="J80" s="18" t="s">
        <v>1052</v>
      </c>
      <c r="K80" s="21" t="s">
        <v>1053</v>
      </c>
      <c r="L80" s="22" t="s">
        <v>1054</v>
      </c>
      <c r="M80" s="23" t="s">
        <v>1055</v>
      </c>
      <c r="N80" s="18" t="s">
        <v>1056</v>
      </c>
      <c r="O80" s="24" t="s">
        <v>1057</v>
      </c>
      <c r="P80" s="18" t="s">
        <v>1058</v>
      </c>
      <c r="Q80" s="17" t="s">
        <v>1729</v>
      </c>
      <c r="R80" s="35">
        <v>46270</v>
      </c>
    </row>
    <row r="81" spans="1:18" ht="111.95" customHeight="1" x14ac:dyDescent="0.25">
      <c r="A81" s="18">
        <v>79</v>
      </c>
      <c r="B81" s="18" t="s">
        <v>1044</v>
      </c>
      <c r="C81" s="18" t="s">
        <v>1059</v>
      </c>
      <c r="D81" s="19" t="s">
        <v>1060</v>
      </c>
      <c r="E81" s="20" t="s">
        <v>1061</v>
      </c>
      <c r="F81" s="18" t="s">
        <v>1062</v>
      </c>
      <c r="G81" s="18" t="s">
        <v>1063</v>
      </c>
      <c r="H81" s="18" t="s">
        <v>1064</v>
      </c>
      <c r="I81" s="18" t="s">
        <v>1065</v>
      </c>
      <c r="J81" s="18" t="s">
        <v>1066</v>
      </c>
      <c r="K81" s="21" t="s">
        <v>1067</v>
      </c>
      <c r="L81" s="22" t="s">
        <v>1068</v>
      </c>
      <c r="M81" s="23" t="s">
        <v>1069</v>
      </c>
      <c r="N81" s="18" t="s">
        <v>1056</v>
      </c>
      <c r="O81" s="24" t="s">
        <v>1057</v>
      </c>
      <c r="P81" s="18" t="s">
        <v>1070</v>
      </c>
      <c r="Q81" s="17" t="s">
        <v>1729</v>
      </c>
      <c r="R81" s="35">
        <v>46270</v>
      </c>
    </row>
    <row r="82" spans="1:18" ht="111.95" customHeight="1" x14ac:dyDescent="0.25">
      <c r="A82" s="18">
        <v>80</v>
      </c>
      <c r="B82" s="18" t="s">
        <v>1044</v>
      </c>
      <c r="C82" s="18" t="s">
        <v>1071</v>
      </c>
      <c r="D82" s="19" t="s">
        <v>1072</v>
      </c>
      <c r="E82" s="20" t="s">
        <v>1073</v>
      </c>
      <c r="F82" s="18" t="s">
        <v>1074</v>
      </c>
      <c r="G82" s="18" t="s">
        <v>1075</v>
      </c>
      <c r="H82" s="18" t="s">
        <v>1076</v>
      </c>
      <c r="I82" s="18" t="s">
        <v>1077</v>
      </c>
      <c r="J82" s="18" t="s">
        <v>1078</v>
      </c>
      <c r="K82" s="21" t="s">
        <v>1079</v>
      </c>
      <c r="L82" s="22" t="s">
        <v>1080</v>
      </c>
      <c r="M82" s="23" t="s">
        <v>1081</v>
      </c>
      <c r="N82" s="18" t="s">
        <v>1056</v>
      </c>
      <c r="O82" s="24" t="s">
        <v>1057</v>
      </c>
      <c r="P82" s="18" t="s">
        <v>1082</v>
      </c>
      <c r="Q82" s="17" t="s">
        <v>1729</v>
      </c>
      <c r="R82" s="35">
        <v>46270</v>
      </c>
    </row>
    <row r="83" spans="1:18" ht="111.95" customHeight="1" x14ac:dyDescent="0.25">
      <c r="A83" s="18">
        <v>81</v>
      </c>
      <c r="B83" s="18" t="s">
        <v>1044</v>
      </c>
      <c r="C83" s="18" t="s">
        <v>1083</v>
      </c>
      <c r="D83" s="19" t="s">
        <v>1084</v>
      </c>
      <c r="E83" s="20" t="s">
        <v>1085</v>
      </c>
      <c r="F83" s="18" t="s">
        <v>1086</v>
      </c>
      <c r="G83" s="18" t="s">
        <v>1087</v>
      </c>
      <c r="H83" s="18" t="s">
        <v>1088</v>
      </c>
      <c r="I83" s="18" t="s">
        <v>1089</v>
      </c>
      <c r="J83" s="18" t="s">
        <v>1090</v>
      </c>
      <c r="K83" s="21" t="s">
        <v>1091</v>
      </c>
      <c r="L83" s="22" t="s">
        <v>1092</v>
      </c>
      <c r="M83" s="23" t="s">
        <v>1093</v>
      </c>
      <c r="N83" s="18" t="s">
        <v>1056</v>
      </c>
      <c r="O83" s="24" t="s">
        <v>1057</v>
      </c>
      <c r="P83" s="18" t="s">
        <v>1094</v>
      </c>
      <c r="Q83" s="17" t="s">
        <v>1729</v>
      </c>
      <c r="R83" s="35">
        <v>46270</v>
      </c>
    </row>
    <row r="84" spans="1:18" ht="111.95" customHeight="1" x14ac:dyDescent="0.25">
      <c r="A84" s="18">
        <v>82</v>
      </c>
      <c r="B84" s="18" t="s">
        <v>1044</v>
      </c>
      <c r="C84" s="18" t="s">
        <v>1095</v>
      </c>
      <c r="D84" s="19" t="s">
        <v>1096</v>
      </c>
      <c r="E84" s="20" t="s">
        <v>1097</v>
      </c>
      <c r="F84" s="18" t="s">
        <v>1098</v>
      </c>
      <c r="G84" s="18" t="s">
        <v>1099</v>
      </c>
      <c r="H84" s="18" t="s">
        <v>1100</v>
      </c>
      <c r="I84" s="18" t="s">
        <v>1101</v>
      </c>
      <c r="J84" s="18" t="s">
        <v>1102</v>
      </c>
      <c r="K84" s="21" t="s">
        <v>1103</v>
      </c>
      <c r="L84" s="22" t="s">
        <v>1104</v>
      </c>
      <c r="M84" s="23" t="s">
        <v>1105</v>
      </c>
      <c r="N84" s="18" t="s">
        <v>1106</v>
      </c>
      <c r="O84" s="24" t="s">
        <v>1107</v>
      </c>
      <c r="P84" s="18" t="s">
        <v>1108</v>
      </c>
      <c r="Q84" s="17" t="s">
        <v>1729</v>
      </c>
      <c r="R84" s="35">
        <v>46270</v>
      </c>
    </row>
    <row r="85" spans="1:18" ht="111.95" customHeight="1" x14ac:dyDescent="0.25">
      <c r="A85" s="18">
        <v>83</v>
      </c>
      <c r="B85" s="18" t="s">
        <v>1044</v>
      </c>
      <c r="C85" s="18" t="s">
        <v>1109</v>
      </c>
      <c r="D85" s="19" t="s">
        <v>453</v>
      </c>
      <c r="E85" s="20" t="s">
        <v>1110</v>
      </c>
      <c r="F85" s="18" t="s">
        <v>1111</v>
      </c>
      <c r="G85" s="18" t="s">
        <v>1112</v>
      </c>
      <c r="H85" s="18" t="s">
        <v>1113</v>
      </c>
      <c r="I85" s="18" t="s">
        <v>1114</v>
      </c>
      <c r="J85" s="18" t="s">
        <v>1115</v>
      </c>
      <c r="K85" s="21" t="s">
        <v>1116</v>
      </c>
      <c r="L85" s="22" t="s">
        <v>1117</v>
      </c>
      <c r="M85" s="23" t="s">
        <v>1118</v>
      </c>
      <c r="N85" s="18" t="s">
        <v>1119</v>
      </c>
      <c r="O85" s="24" t="s">
        <v>1120</v>
      </c>
      <c r="P85" s="18" t="s">
        <v>1121</v>
      </c>
      <c r="Q85" s="17" t="s">
        <v>1729</v>
      </c>
      <c r="R85" s="35">
        <v>46270</v>
      </c>
    </row>
    <row r="86" spans="1:18" ht="111.95" customHeight="1" x14ac:dyDescent="0.25">
      <c r="A86" s="18">
        <v>84</v>
      </c>
      <c r="B86" s="18" t="s">
        <v>1044</v>
      </c>
      <c r="C86" s="18" t="s">
        <v>1122</v>
      </c>
      <c r="D86" s="19" t="s">
        <v>1123</v>
      </c>
      <c r="E86" s="20" t="s">
        <v>1124</v>
      </c>
      <c r="F86" s="18" t="s">
        <v>1125</v>
      </c>
      <c r="G86" s="18" t="s">
        <v>1126</v>
      </c>
      <c r="H86" s="18" t="s">
        <v>1127</v>
      </c>
      <c r="I86" s="18" t="s">
        <v>1128</v>
      </c>
      <c r="J86" s="18" t="s">
        <v>1129</v>
      </c>
      <c r="K86" s="21" t="s">
        <v>1130</v>
      </c>
      <c r="L86" s="22" t="s">
        <v>1131</v>
      </c>
      <c r="M86" s="23" t="s">
        <v>1132</v>
      </c>
      <c r="N86" s="18" t="s">
        <v>1119</v>
      </c>
      <c r="O86" s="24" t="s">
        <v>1120</v>
      </c>
      <c r="P86" s="18" t="s">
        <v>1133</v>
      </c>
      <c r="Q86" s="17" t="s">
        <v>1729</v>
      </c>
      <c r="R86" s="35">
        <v>46270</v>
      </c>
    </row>
    <row r="87" spans="1:18" ht="111.95" customHeight="1" x14ac:dyDescent="0.25">
      <c r="A87" s="18">
        <v>85</v>
      </c>
      <c r="B87" s="18" t="s">
        <v>1044</v>
      </c>
      <c r="C87" s="18" t="s">
        <v>1134</v>
      </c>
      <c r="D87" s="19" t="s">
        <v>1135</v>
      </c>
      <c r="E87" s="20" t="s">
        <v>1136</v>
      </c>
      <c r="F87" s="18" t="s">
        <v>1137</v>
      </c>
      <c r="G87" s="18" t="s">
        <v>1138</v>
      </c>
      <c r="H87" s="18" t="s">
        <v>1139</v>
      </c>
      <c r="I87" s="18" t="s">
        <v>1140</v>
      </c>
      <c r="J87" s="18" t="s">
        <v>1141</v>
      </c>
      <c r="K87" s="21" t="s">
        <v>1142</v>
      </c>
      <c r="L87" s="22" t="s">
        <v>1143</v>
      </c>
      <c r="M87" s="23" t="s">
        <v>1144</v>
      </c>
      <c r="N87" s="18" t="s">
        <v>1145</v>
      </c>
      <c r="O87" s="24" t="s">
        <v>1146</v>
      </c>
      <c r="P87" s="18" t="s">
        <v>1147</v>
      </c>
      <c r="Q87" s="17" t="s">
        <v>1729</v>
      </c>
      <c r="R87" s="35">
        <v>46270</v>
      </c>
    </row>
    <row r="88" spans="1:18" ht="111.95" customHeight="1" x14ac:dyDescent="0.25">
      <c r="A88" s="18">
        <v>86</v>
      </c>
      <c r="B88" s="18" t="s">
        <v>1044</v>
      </c>
      <c r="C88" s="18" t="s">
        <v>1148</v>
      </c>
      <c r="D88" s="19" t="s">
        <v>1149</v>
      </c>
      <c r="E88" s="20" t="s">
        <v>1150</v>
      </c>
      <c r="F88" s="18" t="s">
        <v>1151</v>
      </c>
      <c r="G88" s="18" t="s">
        <v>1152</v>
      </c>
      <c r="H88" s="18" t="s">
        <v>1153</v>
      </c>
      <c r="I88" s="18" t="s">
        <v>1154</v>
      </c>
      <c r="J88" s="18" t="s">
        <v>1155</v>
      </c>
      <c r="K88" s="21" t="s">
        <v>1156</v>
      </c>
      <c r="L88" s="22" t="s">
        <v>1157</v>
      </c>
      <c r="M88" s="23" t="s">
        <v>1158</v>
      </c>
      <c r="N88" s="18" t="s">
        <v>1145</v>
      </c>
      <c r="O88" s="24" t="s">
        <v>1146</v>
      </c>
      <c r="P88" s="18" t="s">
        <v>1159</v>
      </c>
      <c r="Q88" s="17" t="s">
        <v>1729</v>
      </c>
      <c r="R88" s="35">
        <v>46270</v>
      </c>
    </row>
    <row r="89" spans="1:18" ht="111.95" customHeight="1" x14ac:dyDescent="0.25">
      <c r="A89" s="18">
        <v>87</v>
      </c>
      <c r="B89" s="18" t="s">
        <v>1044</v>
      </c>
      <c r="C89" s="18" t="s">
        <v>1160</v>
      </c>
      <c r="D89" s="19" t="s">
        <v>1161</v>
      </c>
      <c r="E89" s="20" t="s">
        <v>911</v>
      </c>
      <c r="F89" s="18" t="s">
        <v>1162</v>
      </c>
      <c r="G89" s="18" t="s">
        <v>1163</v>
      </c>
      <c r="H89" s="18" t="s">
        <v>1164</v>
      </c>
      <c r="I89" s="18" t="s">
        <v>1165</v>
      </c>
      <c r="J89" s="18" t="s">
        <v>1166</v>
      </c>
      <c r="K89" s="21" t="s">
        <v>1167</v>
      </c>
      <c r="L89" s="22" t="s">
        <v>1168</v>
      </c>
      <c r="M89" s="23" t="s">
        <v>1169</v>
      </c>
      <c r="N89" s="18" t="s">
        <v>1119</v>
      </c>
      <c r="O89" s="24" t="s">
        <v>1120</v>
      </c>
      <c r="P89" s="18" t="s">
        <v>1170</v>
      </c>
      <c r="Q89" s="17" t="s">
        <v>1729</v>
      </c>
      <c r="R89" s="35">
        <v>46270</v>
      </c>
    </row>
    <row r="90" spans="1:18" ht="111.95" customHeight="1" x14ac:dyDescent="0.25">
      <c r="A90" s="18">
        <v>88</v>
      </c>
      <c r="B90" s="18" t="s">
        <v>1044</v>
      </c>
      <c r="C90" s="18" t="s">
        <v>1171</v>
      </c>
      <c r="D90" s="19" t="s">
        <v>1172</v>
      </c>
      <c r="E90" s="20" t="s">
        <v>911</v>
      </c>
      <c r="F90" s="18" t="s">
        <v>1173</v>
      </c>
      <c r="G90" s="18" t="s">
        <v>1174</v>
      </c>
      <c r="H90" s="18" t="s">
        <v>1175</v>
      </c>
      <c r="I90" s="18" t="s">
        <v>1176</v>
      </c>
      <c r="J90" s="18" t="s">
        <v>1177</v>
      </c>
      <c r="K90" s="21" t="s">
        <v>1178</v>
      </c>
      <c r="L90" s="22" t="s">
        <v>1179</v>
      </c>
      <c r="M90" s="23" t="s">
        <v>1180</v>
      </c>
      <c r="N90" s="18" t="s">
        <v>1119</v>
      </c>
      <c r="O90" s="24" t="s">
        <v>1120</v>
      </c>
      <c r="P90" s="18" t="s">
        <v>1181</v>
      </c>
      <c r="Q90" s="17" t="s">
        <v>1729</v>
      </c>
      <c r="R90" s="35">
        <v>46270</v>
      </c>
    </row>
    <row r="91" spans="1:18" ht="111.95" customHeight="1" x14ac:dyDescent="0.25">
      <c r="A91" s="18">
        <v>89</v>
      </c>
      <c r="B91" s="18" t="s">
        <v>1044</v>
      </c>
      <c r="C91" s="18" t="s">
        <v>1182</v>
      </c>
      <c r="D91" s="19" t="s">
        <v>1183</v>
      </c>
      <c r="E91" s="20" t="s">
        <v>911</v>
      </c>
      <c r="F91" s="18" t="s">
        <v>1184</v>
      </c>
      <c r="G91" s="18" t="s">
        <v>1185</v>
      </c>
      <c r="H91" s="18" t="s">
        <v>1186</v>
      </c>
      <c r="I91" s="18" t="s">
        <v>1187</v>
      </c>
      <c r="J91" s="18" t="s">
        <v>1188</v>
      </c>
      <c r="K91" s="21" t="s">
        <v>1189</v>
      </c>
      <c r="L91" s="22" t="s">
        <v>1190</v>
      </c>
      <c r="M91" s="23" t="s">
        <v>1191</v>
      </c>
      <c r="N91" s="18" t="s">
        <v>1119</v>
      </c>
      <c r="O91" s="24" t="s">
        <v>1120</v>
      </c>
      <c r="P91" s="18" t="s">
        <v>1192</v>
      </c>
      <c r="Q91" s="17" t="s">
        <v>1729</v>
      </c>
      <c r="R91" s="35">
        <v>46270</v>
      </c>
    </row>
    <row r="92" spans="1:18" ht="111.95" customHeight="1" x14ac:dyDescent="0.25">
      <c r="A92" s="18">
        <v>90</v>
      </c>
      <c r="B92" s="18" t="s">
        <v>1044</v>
      </c>
      <c r="C92" s="18" t="s">
        <v>1193</v>
      </c>
      <c r="D92" s="19" t="s">
        <v>836</v>
      </c>
      <c r="E92" s="20" t="s">
        <v>835</v>
      </c>
      <c r="F92" s="18" t="s">
        <v>1194</v>
      </c>
      <c r="G92" s="18" t="s">
        <v>1195</v>
      </c>
      <c r="H92" s="18" t="s">
        <v>1196</v>
      </c>
      <c r="I92" s="18" t="s">
        <v>1197</v>
      </c>
      <c r="J92" s="18" t="s">
        <v>1198</v>
      </c>
      <c r="K92" s="21" t="s">
        <v>1199</v>
      </c>
      <c r="L92" s="22" t="s">
        <v>1200</v>
      </c>
      <c r="M92" s="23" t="s">
        <v>1201</v>
      </c>
      <c r="N92" s="18" t="s">
        <v>1119</v>
      </c>
      <c r="O92" s="24" t="s">
        <v>1120</v>
      </c>
      <c r="P92" s="18" t="s">
        <v>1202</v>
      </c>
      <c r="Q92" s="17" t="s">
        <v>1729</v>
      </c>
      <c r="R92" s="35">
        <v>46270</v>
      </c>
    </row>
    <row r="93" spans="1:18" ht="111.95" customHeight="1" x14ac:dyDescent="0.25">
      <c r="A93" s="18">
        <v>91</v>
      </c>
      <c r="B93" s="18" t="s">
        <v>1044</v>
      </c>
      <c r="C93" s="18" t="s">
        <v>1203</v>
      </c>
      <c r="D93" s="19" t="s">
        <v>1204</v>
      </c>
      <c r="E93" s="20" t="s">
        <v>1205</v>
      </c>
      <c r="F93" s="18" t="s">
        <v>1206</v>
      </c>
      <c r="G93" s="18" t="s">
        <v>1207</v>
      </c>
      <c r="H93" s="18" t="s">
        <v>1208</v>
      </c>
      <c r="I93" s="18" t="s">
        <v>1209</v>
      </c>
      <c r="J93" s="18" t="s">
        <v>1210</v>
      </c>
      <c r="K93" s="21" t="s">
        <v>1211</v>
      </c>
      <c r="L93" s="22" t="s">
        <v>1212</v>
      </c>
      <c r="M93" s="23" t="s">
        <v>1213</v>
      </c>
      <c r="N93" s="18" t="s">
        <v>1119</v>
      </c>
      <c r="O93" s="24" t="s">
        <v>1120</v>
      </c>
      <c r="P93" s="18" t="s">
        <v>1214</v>
      </c>
      <c r="Q93" s="17" t="s">
        <v>1729</v>
      </c>
      <c r="R93" s="35">
        <v>46270</v>
      </c>
    </row>
    <row r="94" spans="1:18" ht="111.95" customHeight="1" x14ac:dyDescent="0.25">
      <c r="A94" s="18">
        <v>92</v>
      </c>
      <c r="B94" s="18" t="s">
        <v>1044</v>
      </c>
      <c r="C94" s="18" t="s">
        <v>1215</v>
      </c>
      <c r="D94" s="19" t="s">
        <v>1216</v>
      </c>
      <c r="E94" s="20" t="s">
        <v>1217</v>
      </c>
      <c r="F94" s="18" t="s">
        <v>1218</v>
      </c>
      <c r="G94" s="18" t="s">
        <v>1219</v>
      </c>
      <c r="H94" s="18" t="s">
        <v>1220</v>
      </c>
      <c r="I94" s="18" t="s">
        <v>1221</v>
      </c>
      <c r="J94" s="18" t="s">
        <v>1222</v>
      </c>
      <c r="K94" s="21" t="s">
        <v>1223</v>
      </c>
      <c r="L94" s="22" t="s">
        <v>1224</v>
      </c>
      <c r="M94" s="23" t="s">
        <v>1225</v>
      </c>
      <c r="N94" s="18" t="s">
        <v>1226</v>
      </c>
      <c r="O94" s="24" t="s">
        <v>1227</v>
      </c>
      <c r="P94" s="18" t="s">
        <v>1228</v>
      </c>
      <c r="Q94" s="17" t="s">
        <v>1729</v>
      </c>
      <c r="R94" s="35">
        <v>46270</v>
      </c>
    </row>
    <row r="95" spans="1:18" ht="111.95" customHeight="1" x14ac:dyDescent="0.25">
      <c r="A95" s="18">
        <v>93</v>
      </c>
      <c r="B95" s="18" t="s">
        <v>1044</v>
      </c>
      <c r="C95" s="18" t="s">
        <v>1229</v>
      </c>
      <c r="D95" s="19" t="s">
        <v>1230</v>
      </c>
      <c r="E95" s="20" t="s">
        <v>1231</v>
      </c>
      <c r="F95" s="18" t="s">
        <v>1232</v>
      </c>
      <c r="G95" s="18" t="s">
        <v>1233</v>
      </c>
      <c r="H95" s="18" t="s">
        <v>1234</v>
      </c>
      <c r="I95" s="18" t="s">
        <v>1235</v>
      </c>
      <c r="J95" s="18" t="s">
        <v>1236</v>
      </c>
      <c r="K95" s="21" t="s">
        <v>1237</v>
      </c>
      <c r="L95" s="22" t="s">
        <v>1238</v>
      </c>
      <c r="M95" s="23" t="s">
        <v>1239</v>
      </c>
      <c r="N95" s="18" t="s">
        <v>1240</v>
      </c>
      <c r="O95" s="24" t="s">
        <v>1241</v>
      </c>
      <c r="P95" s="18" t="s">
        <v>1242</v>
      </c>
      <c r="Q95" s="17" t="s">
        <v>1729</v>
      </c>
      <c r="R95" s="35">
        <v>46270</v>
      </c>
    </row>
    <row r="96" spans="1:18" ht="111.95" customHeight="1" x14ac:dyDescent="0.25">
      <c r="A96" s="18">
        <v>94</v>
      </c>
      <c r="B96" s="18" t="s">
        <v>1044</v>
      </c>
      <c r="C96" s="18" t="s">
        <v>1243</v>
      </c>
      <c r="D96" s="19" t="s">
        <v>1244</v>
      </c>
      <c r="E96" s="20" t="s">
        <v>1245</v>
      </c>
      <c r="F96" s="18" t="s">
        <v>1246</v>
      </c>
      <c r="G96" s="18" t="s">
        <v>1247</v>
      </c>
      <c r="H96" s="18" t="s">
        <v>1248</v>
      </c>
      <c r="I96" s="18" t="s">
        <v>1249</v>
      </c>
      <c r="J96" s="18" t="s">
        <v>1250</v>
      </c>
      <c r="K96" s="21" t="s">
        <v>1251</v>
      </c>
      <c r="L96" s="22" t="s">
        <v>1252</v>
      </c>
      <c r="M96" s="23" t="s">
        <v>1253</v>
      </c>
      <c r="N96" s="18" t="s">
        <v>1240</v>
      </c>
      <c r="O96" s="24" t="s">
        <v>1241</v>
      </c>
      <c r="P96" s="18" t="s">
        <v>1254</v>
      </c>
      <c r="Q96" s="17" t="s">
        <v>1729</v>
      </c>
      <c r="R96" s="35">
        <v>46270</v>
      </c>
    </row>
    <row r="97" spans="1:18" ht="111.95" customHeight="1" x14ac:dyDescent="0.25">
      <c r="A97" s="18">
        <v>95</v>
      </c>
      <c r="B97" s="18" t="s">
        <v>1044</v>
      </c>
      <c r="C97" s="18" t="s">
        <v>1255</v>
      </c>
      <c r="D97" s="19" t="s">
        <v>1256</v>
      </c>
      <c r="E97" s="20" t="s">
        <v>1216</v>
      </c>
      <c r="F97" s="18" t="s">
        <v>1257</v>
      </c>
      <c r="G97" s="18" t="s">
        <v>1258</v>
      </c>
      <c r="H97" s="18" t="s">
        <v>1259</v>
      </c>
      <c r="I97" s="18" t="s">
        <v>1260</v>
      </c>
      <c r="J97" s="18" t="s">
        <v>1261</v>
      </c>
      <c r="K97" s="21" t="s">
        <v>1262</v>
      </c>
      <c r="L97" s="22" t="s">
        <v>1263</v>
      </c>
      <c r="M97" s="23" t="s">
        <v>1264</v>
      </c>
      <c r="N97" s="18" t="s">
        <v>1240</v>
      </c>
      <c r="O97" s="24" t="s">
        <v>1241</v>
      </c>
      <c r="P97" s="18" t="s">
        <v>1265</v>
      </c>
      <c r="Q97" s="17" t="s">
        <v>1729</v>
      </c>
      <c r="R97" s="35">
        <v>46270</v>
      </c>
    </row>
    <row r="98" spans="1:18" ht="111.95" customHeight="1" x14ac:dyDescent="0.25">
      <c r="A98" s="18">
        <v>96</v>
      </c>
      <c r="B98" s="18" t="s">
        <v>1044</v>
      </c>
      <c r="C98" s="18" t="s">
        <v>1266</v>
      </c>
      <c r="D98" s="19" t="s">
        <v>1267</v>
      </c>
      <c r="E98" s="20" t="s">
        <v>1268</v>
      </c>
      <c r="F98" s="18" t="s">
        <v>1269</v>
      </c>
      <c r="G98" s="18" t="s">
        <v>1270</v>
      </c>
      <c r="H98" s="18" t="s">
        <v>1271</v>
      </c>
      <c r="I98" s="18" t="s">
        <v>1272</v>
      </c>
      <c r="J98" s="18" t="s">
        <v>1273</v>
      </c>
      <c r="K98" s="21" t="s">
        <v>1274</v>
      </c>
      <c r="L98" s="22" t="s">
        <v>1275</v>
      </c>
      <c r="M98" s="23" t="s">
        <v>1276</v>
      </c>
      <c r="N98" s="18" t="s">
        <v>1277</v>
      </c>
      <c r="O98" s="24" t="s">
        <v>1278</v>
      </c>
      <c r="P98" s="18" t="s">
        <v>1279</v>
      </c>
      <c r="Q98" s="17" t="s">
        <v>1729</v>
      </c>
      <c r="R98" s="35">
        <v>46270</v>
      </c>
    </row>
    <row r="99" spans="1:18" ht="111.95" customHeight="1" x14ac:dyDescent="0.25">
      <c r="A99" s="18">
        <v>97</v>
      </c>
      <c r="B99" s="18" t="s">
        <v>1044</v>
      </c>
      <c r="C99" s="18" t="s">
        <v>1280</v>
      </c>
      <c r="D99" s="19" t="s">
        <v>1281</v>
      </c>
      <c r="E99" s="20" t="s">
        <v>1282</v>
      </c>
      <c r="F99" s="18" t="s">
        <v>1283</v>
      </c>
      <c r="G99" s="18" t="s">
        <v>1284</v>
      </c>
      <c r="H99" s="18" t="s">
        <v>1285</v>
      </c>
      <c r="I99" s="18" t="s">
        <v>1286</v>
      </c>
      <c r="J99" s="18" t="s">
        <v>1287</v>
      </c>
      <c r="K99" s="21" t="s">
        <v>1288</v>
      </c>
      <c r="L99" s="22" t="s">
        <v>1289</v>
      </c>
      <c r="M99" s="23" t="s">
        <v>1290</v>
      </c>
      <c r="N99" s="18" t="s">
        <v>1291</v>
      </c>
      <c r="O99" s="24" t="s">
        <v>1278</v>
      </c>
      <c r="P99" s="18" t="s">
        <v>1292</v>
      </c>
      <c r="Q99" s="17" t="s">
        <v>1729</v>
      </c>
      <c r="R99" s="35">
        <v>46270</v>
      </c>
    </row>
    <row r="100" spans="1:18" ht="111.95" customHeight="1" x14ac:dyDescent="0.25">
      <c r="A100" s="18">
        <v>98</v>
      </c>
      <c r="B100" s="18" t="s">
        <v>1044</v>
      </c>
      <c r="C100" s="18" t="s">
        <v>1293</v>
      </c>
      <c r="D100" s="19" t="s">
        <v>1294</v>
      </c>
      <c r="E100" s="20" t="s">
        <v>1295</v>
      </c>
      <c r="F100" s="18" t="s">
        <v>1296</v>
      </c>
      <c r="G100" s="18" t="s">
        <v>1297</v>
      </c>
      <c r="H100" s="18" t="s">
        <v>1298</v>
      </c>
      <c r="I100" s="18" t="s">
        <v>1299</v>
      </c>
      <c r="J100" s="18" t="s">
        <v>1300</v>
      </c>
      <c r="K100" s="21" t="s">
        <v>1301</v>
      </c>
      <c r="L100" s="22" t="s">
        <v>1302</v>
      </c>
      <c r="M100" s="23" t="s">
        <v>1303</v>
      </c>
      <c r="N100" s="18" t="s">
        <v>1291</v>
      </c>
      <c r="O100" s="24" t="s">
        <v>1278</v>
      </c>
      <c r="P100" s="18" t="s">
        <v>1304</v>
      </c>
      <c r="Q100" s="17" t="s">
        <v>1729</v>
      </c>
      <c r="R100" s="35">
        <v>46270</v>
      </c>
    </row>
    <row r="101" spans="1:18" ht="111.95" customHeight="1" x14ac:dyDescent="0.25">
      <c r="A101" s="18">
        <v>99</v>
      </c>
      <c r="B101" s="18" t="s">
        <v>1044</v>
      </c>
      <c r="C101" s="18" t="s">
        <v>1305</v>
      </c>
      <c r="D101" s="19" t="s">
        <v>1306</v>
      </c>
      <c r="E101" s="20" t="s">
        <v>1294</v>
      </c>
      <c r="F101" s="18" t="s">
        <v>1307</v>
      </c>
      <c r="G101" s="18" t="s">
        <v>1308</v>
      </c>
      <c r="H101" s="18" t="s">
        <v>1309</v>
      </c>
      <c r="I101" s="18" t="s">
        <v>1310</v>
      </c>
      <c r="J101" s="18" t="s">
        <v>1311</v>
      </c>
      <c r="K101" s="21" t="s">
        <v>1312</v>
      </c>
      <c r="L101" s="22" t="s">
        <v>1313</v>
      </c>
      <c r="M101" s="23" t="s">
        <v>1314</v>
      </c>
      <c r="N101" s="18" t="s">
        <v>1291</v>
      </c>
      <c r="O101" s="24" t="s">
        <v>1278</v>
      </c>
      <c r="P101" s="18" t="s">
        <v>1315</v>
      </c>
      <c r="Q101" s="17" t="s">
        <v>1729</v>
      </c>
      <c r="R101" s="35">
        <v>46270</v>
      </c>
    </row>
    <row r="102" spans="1:18" ht="111.95" customHeight="1" x14ac:dyDescent="0.25">
      <c r="A102" s="18">
        <v>100</v>
      </c>
      <c r="B102" s="18" t="s">
        <v>1044</v>
      </c>
      <c r="C102" s="18" t="s">
        <v>1316</v>
      </c>
      <c r="D102" s="19" t="s">
        <v>1317</v>
      </c>
      <c r="E102" s="20" t="s">
        <v>1318</v>
      </c>
      <c r="F102" s="18" t="s">
        <v>1319</v>
      </c>
      <c r="G102" s="18" t="s">
        <v>1320</v>
      </c>
      <c r="H102" s="18" t="s">
        <v>1321</v>
      </c>
      <c r="I102" s="18" t="s">
        <v>1322</v>
      </c>
      <c r="J102" s="18" t="s">
        <v>1323</v>
      </c>
      <c r="K102" s="21" t="s">
        <v>1324</v>
      </c>
      <c r="L102" s="22" t="s">
        <v>1325</v>
      </c>
      <c r="M102" s="23" t="s">
        <v>1326</v>
      </c>
      <c r="N102" s="18" t="s">
        <v>1327</v>
      </c>
      <c r="O102" s="24" t="s">
        <v>1328</v>
      </c>
      <c r="P102" s="18" t="s">
        <v>1329</v>
      </c>
      <c r="Q102" s="17" t="s">
        <v>1729</v>
      </c>
      <c r="R102" s="35">
        <v>46270</v>
      </c>
    </row>
    <row r="103" spans="1:18" ht="111.95" customHeight="1" x14ac:dyDescent="0.25">
      <c r="A103" s="18">
        <v>101</v>
      </c>
      <c r="B103" s="18" t="s">
        <v>1044</v>
      </c>
      <c r="C103" s="18" t="s">
        <v>1330</v>
      </c>
      <c r="D103" s="19" t="s">
        <v>1331</v>
      </c>
      <c r="E103" s="20" t="s">
        <v>1332</v>
      </c>
      <c r="F103" s="18" t="s">
        <v>1333</v>
      </c>
      <c r="G103" s="18" t="s">
        <v>1334</v>
      </c>
      <c r="H103" s="18" t="s">
        <v>1335</v>
      </c>
      <c r="I103" s="18" t="s">
        <v>1336</v>
      </c>
      <c r="J103" s="18" t="s">
        <v>1337</v>
      </c>
      <c r="K103" s="21" t="s">
        <v>1338</v>
      </c>
      <c r="L103" s="22" t="s">
        <v>1339</v>
      </c>
      <c r="M103" s="23" t="s">
        <v>1340</v>
      </c>
      <c r="N103" s="18" t="s">
        <v>1327</v>
      </c>
      <c r="O103" s="24" t="s">
        <v>1328</v>
      </c>
      <c r="P103" s="18" t="s">
        <v>1341</v>
      </c>
      <c r="Q103" s="17" t="s">
        <v>1729</v>
      </c>
      <c r="R103" s="35">
        <v>46270</v>
      </c>
    </row>
    <row r="104" spans="1:18" ht="111.95" customHeight="1" x14ac:dyDescent="0.25">
      <c r="A104" s="18">
        <v>102</v>
      </c>
      <c r="B104" s="18" t="s">
        <v>1044</v>
      </c>
      <c r="C104" s="18" t="s">
        <v>1342</v>
      </c>
      <c r="D104" s="19" t="s">
        <v>1343</v>
      </c>
      <c r="E104" s="20" t="s">
        <v>1344</v>
      </c>
      <c r="F104" s="18" t="s">
        <v>1345</v>
      </c>
      <c r="G104" s="18" t="s">
        <v>1346</v>
      </c>
      <c r="H104" s="18" t="s">
        <v>1347</v>
      </c>
      <c r="I104" s="18" t="s">
        <v>1348</v>
      </c>
      <c r="J104" s="18" t="s">
        <v>1349</v>
      </c>
      <c r="K104" s="21" t="s">
        <v>1350</v>
      </c>
      <c r="L104" s="22" t="s">
        <v>1351</v>
      </c>
      <c r="M104" s="23" t="s">
        <v>1352</v>
      </c>
      <c r="N104" s="18" t="s">
        <v>1353</v>
      </c>
      <c r="O104" s="24" t="s">
        <v>1354</v>
      </c>
      <c r="P104" s="18" t="s">
        <v>1355</v>
      </c>
      <c r="Q104" s="17" t="s">
        <v>1729</v>
      </c>
      <c r="R104" s="35">
        <v>46270</v>
      </c>
    </row>
    <row r="105" spans="1:18" ht="111.95" customHeight="1" x14ac:dyDescent="0.25">
      <c r="A105" s="18">
        <v>103</v>
      </c>
      <c r="B105" s="18" t="s">
        <v>1044</v>
      </c>
      <c r="C105" s="18" t="s">
        <v>1356</v>
      </c>
      <c r="D105" s="19" t="s">
        <v>1357</v>
      </c>
      <c r="E105" s="20" t="s">
        <v>1358</v>
      </c>
      <c r="F105" s="18" t="s">
        <v>1359</v>
      </c>
      <c r="G105" s="18" t="s">
        <v>1360</v>
      </c>
      <c r="H105" s="18" t="s">
        <v>1361</v>
      </c>
      <c r="I105" s="18" t="s">
        <v>1362</v>
      </c>
      <c r="J105" s="18" t="s">
        <v>1363</v>
      </c>
      <c r="K105" s="21" t="s">
        <v>1364</v>
      </c>
      <c r="L105" s="22" t="s">
        <v>1365</v>
      </c>
      <c r="M105" s="23" t="s">
        <v>1366</v>
      </c>
      <c r="N105" s="18" t="s">
        <v>1353</v>
      </c>
      <c r="O105" s="24" t="s">
        <v>1354</v>
      </c>
      <c r="P105" s="18" t="s">
        <v>1367</v>
      </c>
      <c r="Q105" s="17" t="s">
        <v>1729</v>
      </c>
      <c r="R105" s="35">
        <v>46270</v>
      </c>
    </row>
    <row r="106" spans="1:18" ht="111.95" customHeight="1" x14ac:dyDescent="0.25">
      <c r="A106" s="18">
        <v>104</v>
      </c>
      <c r="B106" s="18" t="s">
        <v>1044</v>
      </c>
      <c r="C106" s="18" t="s">
        <v>1368</v>
      </c>
      <c r="D106" s="19" t="s">
        <v>1344</v>
      </c>
      <c r="E106" s="20" t="s">
        <v>1369</v>
      </c>
      <c r="F106" s="18" t="s">
        <v>1370</v>
      </c>
      <c r="G106" s="18" t="s">
        <v>1371</v>
      </c>
      <c r="H106" s="18" t="s">
        <v>1372</v>
      </c>
      <c r="I106" s="18" t="s">
        <v>1373</v>
      </c>
      <c r="J106" s="18" t="s">
        <v>1374</v>
      </c>
      <c r="K106" s="21" t="s">
        <v>1375</v>
      </c>
      <c r="L106" s="22" t="s">
        <v>1376</v>
      </c>
      <c r="M106" s="23" t="s">
        <v>1377</v>
      </c>
      <c r="N106" s="18" t="s">
        <v>1353</v>
      </c>
      <c r="O106" s="24" t="s">
        <v>1354</v>
      </c>
      <c r="P106" s="18" t="s">
        <v>1378</v>
      </c>
      <c r="Q106" s="17" t="s">
        <v>1729</v>
      </c>
      <c r="R106" s="35">
        <v>46270</v>
      </c>
    </row>
    <row r="107" spans="1:18" ht="111.95" customHeight="1" x14ac:dyDescent="0.25">
      <c r="A107" s="18">
        <v>105</v>
      </c>
      <c r="B107" s="18" t="s">
        <v>1044</v>
      </c>
      <c r="C107" s="18" t="s">
        <v>1379</v>
      </c>
      <c r="D107" s="19" t="s">
        <v>1380</v>
      </c>
      <c r="E107" s="20" t="s">
        <v>1381</v>
      </c>
      <c r="F107" s="18" t="s">
        <v>1382</v>
      </c>
      <c r="G107" s="18" t="s">
        <v>1383</v>
      </c>
      <c r="H107" s="18" t="s">
        <v>1384</v>
      </c>
      <c r="I107" s="18" t="s">
        <v>1385</v>
      </c>
      <c r="J107" s="18" t="s">
        <v>1386</v>
      </c>
      <c r="K107" s="21" t="s">
        <v>1387</v>
      </c>
      <c r="L107" s="22" t="s">
        <v>1388</v>
      </c>
      <c r="M107" s="23" t="s">
        <v>1389</v>
      </c>
      <c r="N107" s="18" t="s">
        <v>1390</v>
      </c>
      <c r="O107" s="24" t="s">
        <v>1391</v>
      </c>
      <c r="P107" s="18" t="s">
        <v>1392</v>
      </c>
      <c r="Q107" s="17" t="s">
        <v>1729</v>
      </c>
      <c r="R107" s="35">
        <v>46270</v>
      </c>
    </row>
    <row r="108" spans="1:18" ht="111.95" customHeight="1" x14ac:dyDescent="0.25">
      <c r="A108" s="18">
        <v>106</v>
      </c>
      <c r="B108" s="18" t="s">
        <v>1044</v>
      </c>
      <c r="C108" s="18" t="s">
        <v>1393</v>
      </c>
      <c r="D108" s="19" t="s">
        <v>1394</v>
      </c>
      <c r="E108" s="20" t="s">
        <v>1395</v>
      </c>
      <c r="F108" s="18" t="s">
        <v>1396</v>
      </c>
      <c r="G108" s="18" t="s">
        <v>1397</v>
      </c>
      <c r="H108" s="18" t="s">
        <v>1398</v>
      </c>
      <c r="I108" s="18" t="s">
        <v>1399</v>
      </c>
      <c r="J108" s="18" t="s">
        <v>1400</v>
      </c>
      <c r="K108" s="21" t="s">
        <v>1401</v>
      </c>
      <c r="L108" s="22" t="s">
        <v>1402</v>
      </c>
      <c r="M108" s="23" t="s">
        <v>1403</v>
      </c>
      <c r="N108" s="18" t="s">
        <v>1404</v>
      </c>
      <c r="O108" s="24" t="s">
        <v>1405</v>
      </c>
      <c r="P108" s="18" t="s">
        <v>1406</v>
      </c>
      <c r="Q108" s="17" t="s">
        <v>1729</v>
      </c>
      <c r="R108" s="35">
        <v>46270</v>
      </c>
    </row>
    <row r="109" spans="1:18" ht="111.95" customHeight="1" x14ac:dyDescent="0.25">
      <c r="A109" s="18">
        <v>107</v>
      </c>
      <c r="B109" s="18" t="s">
        <v>1044</v>
      </c>
      <c r="C109" s="18" t="s">
        <v>1407</v>
      </c>
      <c r="D109" s="19" t="s">
        <v>1408</v>
      </c>
      <c r="E109" s="20" t="s">
        <v>1409</v>
      </c>
      <c r="F109" s="18" t="s">
        <v>1410</v>
      </c>
      <c r="G109" s="18" t="s">
        <v>1411</v>
      </c>
      <c r="H109" s="18" t="s">
        <v>1412</v>
      </c>
      <c r="I109" s="18" t="s">
        <v>1413</v>
      </c>
      <c r="J109" s="18" t="s">
        <v>1414</v>
      </c>
      <c r="K109" s="21" t="s">
        <v>1415</v>
      </c>
      <c r="L109" s="22" t="s">
        <v>1416</v>
      </c>
      <c r="M109" s="23" t="s">
        <v>1417</v>
      </c>
      <c r="N109" s="18" t="s">
        <v>726</v>
      </c>
      <c r="O109" s="24" t="s">
        <v>1418</v>
      </c>
      <c r="P109" s="18" t="s">
        <v>1419</v>
      </c>
      <c r="Q109" s="17" t="s">
        <v>1729</v>
      </c>
      <c r="R109" s="35">
        <v>46270</v>
      </c>
    </row>
    <row r="110" spans="1:18" ht="111.95" customHeight="1" x14ac:dyDescent="0.25">
      <c r="A110" s="18">
        <v>108</v>
      </c>
      <c r="B110" s="18" t="s">
        <v>1044</v>
      </c>
      <c r="C110" s="18" t="s">
        <v>1420</v>
      </c>
      <c r="D110" s="19" t="s">
        <v>1408</v>
      </c>
      <c r="E110" s="20" t="s">
        <v>1409</v>
      </c>
      <c r="F110" s="18" t="s">
        <v>1421</v>
      </c>
      <c r="G110" s="18" t="s">
        <v>1422</v>
      </c>
      <c r="H110" s="18" t="s">
        <v>1423</v>
      </c>
      <c r="I110" s="18" t="s">
        <v>1424</v>
      </c>
      <c r="J110" s="18" t="s">
        <v>1425</v>
      </c>
      <c r="K110" s="21" t="s">
        <v>1426</v>
      </c>
      <c r="L110" s="22" t="s">
        <v>1427</v>
      </c>
      <c r="M110" s="23" t="s">
        <v>1428</v>
      </c>
      <c r="N110" s="18" t="s">
        <v>1429</v>
      </c>
      <c r="O110" s="24" t="s">
        <v>1418</v>
      </c>
      <c r="P110" s="18" t="s">
        <v>1430</v>
      </c>
      <c r="Q110" s="17" t="s">
        <v>1729</v>
      </c>
      <c r="R110" s="35">
        <v>46270</v>
      </c>
    </row>
    <row r="111" spans="1:18" ht="111.95" customHeight="1" x14ac:dyDescent="0.25">
      <c r="A111" s="18">
        <v>109</v>
      </c>
      <c r="B111" s="18" t="s">
        <v>1044</v>
      </c>
      <c r="C111" s="18" t="s">
        <v>1431</v>
      </c>
      <c r="D111" s="19" t="s">
        <v>1408</v>
      </c>
      <c r="E111" s="20" t="s">
        <v>1432</v>
      </c>
      <c r="F111" s="18" t="s">
        <v>1433</v>
      </c>
      <c r="G111" s="18" t="s">
        <v>1434</v>
      </c>
      <c r="H111" s="18" t="s">
        <v>1435</v>
      </c>
      <c r="I111" s="18" t="s">
        <v>1436</v>
      </c>
      <c r="J111" s="18" t="s">
        <v>1437</v>
      </c>
      <c r="K111" s="21" t="s">
        <v>1438</v>
      </c>
      <c r="L111" s="22" t="s">
        <v>1439</v>
      </c>
      <c r="M111" s="23" t="s">
        <v>1440</v>
      </c>
      <c r="N111" s="18" t="s">
        <v>726</v>
      </c>
      <c r="O111" s="24" t="s">
        <v>727</v>
      </c>
      <c r="P111" s="18" t="s">
        <v>1441</v>
      </c>
      <c r="Q111" s="17" t="s">
        <v>1729</v>
      </c>
      <c r="R111" s="35">
        <v>46270</v>
      </c>
    </row>
    <row r="112" spans="1:18" ht="111.95" customHeight="1" x14ac:dyDescent="0.25">
      <c r="A112" s="18">
        <v>110</v>
      </c>
      <c r="B112" s="18" t="s">
        <v>1044</v>
      </c>
      <c r="C112" s="18" t="s">
        <v>1442</v>
      </c>
      <c r="D112" s="19" t="s">
        <v>1443</v>
      </c>
      <c r="E112" s="20" t="s">
        <v>1408</v>
      </c>
      <c r="F112" s="18" t="s">
        <v>1444</v>
      </c>
      <c r="G112" s="18" t="s">
        <v>1445</v>
      </c>
      <c r="H112" s="18" t="s">
        <v>1446</v>
      </c>
      <c r="I112" s="18" t="s">
        <v>1447</v>
      </c>
      <c r="J112" s="18" t="s">
        <v>1448</v>
      </c>
      <c r="K112" s="21" t="s">
        <v>1449</v>
      </c>
      <c r="L112" s="22" t="s">
        <v>1450</v>
      </c>
      <c r="M112" s="23" t="s">
        <v>1451</v>
      </c>
      <c r="N112" s="18" t="s">
        <v>1452</v>
      </c>
      <c r="O112" s="24" t="s">
        <v>1453</v>
      </c>
      <c r="P112" s="18" t="s">
        <v>1454</v>
      </c>
      <c r="Q112" s="17" t="s">
        <v>1729</v>
      </c>
      <c r="R112" s="35">
        <v>46270</v>
      </c>
    </row>
    <row r="113" spans="1:18" ht="111.95" customHeight="1" x14ac:dyDescent="0.25">
      <c r="A113" s="18">
        <v>111</v>
      </c>
      <c r="B113" s="18" t="s">
        <v>1044</v>
      </c>
      <c r="C113" s="18" t="s">
        <v>1455</v>
      </c>
      <c r="D113" s="19" t="s">
        <v>1443</v>
      </c>
      <c r="E113" s="20" t="s">
        <v>1456</v>
      </c>
      <c r="F113" s="18" t="s">
        <v>1457</v>
      </c>
      <c r="G113" s="18" t="s">
        <v>1458</v>
      </c>
      <c r="H113" s="18" t="s">
        <v>1459</v>
      </c>
      <c r="I113" s="18" t="s">
        <v>1460</v>
      </c>
      <c r="J113" s="18" t="s">
        <v>1461</v>
      </c>
      <c r="K113" s="21" t="s">
        <v>1462</v>
      </c>
      <c r="L113" s="22" t="s">
        <v>1463</v>
      </c>
      <c r="M113" s="23" t="s">
        <v>1464</v>
      </c>
      <c r="N113" s="18" t="s">
        <v>1465</v>
      </c>
      <c r="O113" s="24" t="s">
        <v>1466</v>
      </c>
      <c r="P113" s="18" t="s">
        <v>1467</v>
      </c>
      <c r="Q113" s="17" t="s">
        <v>1729</v>
      </c>
      <c r="R113" s="35">
        <v>46270</v>
      </c>
    </row>
    <row r="114" spans="1:18" ht="111.95" customHeight="1" x14ac:dyDescent="0.25">
      <c r="A114" s="18">
        <v>112</v>
      </c>
      <c r="B114" s="18" t="s">
        <v>1044</v>
      </c>
      <c r="C114" s="18" t="s">
        <v>1468</v>
      </c>
      <c r="D114" s="19" t="s">
        <v>1469</v>
      </c>
      <c r="E114" s="20" t="s">
        <v>1443</v>
      </c>
      <c r="F114" s="18" t="s">
        <v>1470</v>
      </c>
      <c r="G114" s="18" t="s">
        <v>1471</v>
      </c>
      <c r="H114" s="18" t="s">
        <v>1472</v>
      </c>
      <c r="I114" s="18" t="s">
        <v>1473</v>
      </c>
      <c r="J114" s="18" t="s">
        <v>1474</v>
      </c>
      <c r="K114" s="21" t="s">
        <v>1475</v>
      </c>
      <c r="L114" s="22" t="s">
        <v>1476</v>
      </c>
      <c r="M114" s="23" t="s">
        <v>1477</v>
      </c>
      <c r="N114" s="18" t="s">
        <v>1478</v>
      </c>
      <c r="O114" s="24" t="s">
        <v>1479</v>
      </c>
      <c r="P114" s="18" t="s">
        <v>1480</v>
      </c>
      <c r="Q114" s="17" t="s">
        <v>1729</v>
      </c>
      <c r="R114" s="35">
        <v>46270</v>
      </c>
    </row>
    <row r="115" spans="1:18" ht="111.95" customHeight="1" x14ac:dyDescent="0.25">
      <c r="A115" s="18">
        <v>113</v>
      </c>
      <c r="B115" s="18" t="s">
        <v>1044</v>
      </c>
      <c r="C115" s="18" t="s">
        <v>1481</v>
      </c>
      <c r="D115" s="19" t="s">
        <v>170</v>
      </c>
      <c r="E115" s="20" t="s">
        <v>1482</v>
      </c>
      <c r="F115" s="18" t="s">
        <v>1483</v>
      </c>
      <c r="G115" s="18" t="s">
        <v>1484</v>
      </c>
      <c r="H115" s="18" t="s">
        <v>1485</v>
      </c>
      <c r="I115" s="18" t="s">
        <v>1486</v>
      </c>
      <c r="J115" s="18" t="s">
        <v>1487</v>
      </c>
      <c r="K115" s="21" t="s">
        <v>1488</v>
      </c>
      <c r="L115" s="22" t="s">
        <v>1489</v>
      </c>
      <c r="M115" s="23" t="s">
        <v>1490</v>
      </c>
      <c r="N115" s="18" t="s">
        <v>1491</v>
      </c>
      <c r="O115" s="24" t="s">
        <v>1391</v>
      </c>
      <c r="P115" s="18" t="s">
        <v>1492</v>
      </c>
      <c r="Q115" s="17" t="s">
        <v>1729</v>
      </c>
      <c r="R115" s="35">
        <v>46270</v>
      </c>
    </row>
    <row r="116" spans="1:18" ht="111.95" customHeight="1" x14ac:dyDescent="0.25">
      <c r="A116" s="18">
        <v>114</v>
      </c>
      <c r="B116" s="18" t="s">
        <v>1044</v>
      </c>
      <c r="C116" s="18" t="s">
        <v>1493</v>
      </c>
      <c r="D116" s="19" t="s">
        <v>1494</v>
      </c>
      <c r="E116" s="20" t="s">
        <v>1495</v>
      </c>
      <c r="F116" s="18" t="s">
        <v>1496</v>
      </c>
      <c r="G116" s="18" t="s">
        <v>1497</v>
      </c>
      <c r="H116" s="18" t="s">
        <v>1498</v>
      </c>
      <c r="I116" s="18" t="s">
        <v>1499</v>
      </c>
      <c r="J116" s="18" t="s">
        <v>1500</v>
      </c>
      <c r="K116" s="21" t="s">
        <v>1501</v>
      </c>
      <c r="L116" s="22" t="s">
        <v>1502</v>
      </c>
      <c r="M116" s="23" t="s">
        <v>1503</v>
      </c>
      <c r="N116" s="18" t="s">
        <v>1504</v>
      </c>
      <c r="O116" s="24" t="s">
        <v>1505</v>
      </c>
      <c r="P116" s="18" t="s">
        <v>1506</v>
      </c>
      <c r="Q116" s="17" t="s">
        <v>1729</v>
      </c>
      <c r="R116" s="35">
        <v>46270</v>
      </c>
    </row>
    <row r="117" spans="1:18" ht="111.95" customHeight="1" x14ac:dyDescent="0.25">
      <c r="A117" s="18">
        <v>115</v>
      </c>
      <c r="B117" s="18" t="s">
        <v>1044</v>
      </c>
      <c r="C117" s="18" t="s">
        <v>1507</v>
      </c>
      <c r="D117" s="19" t="s">
        <v>1408</v>
      </c>
      <c r="E117" s="20" t="s">
        <v>1508</v>
      </c>
      <c r="F117" s="18" t="s">
        <v>1509</v>
      </c>
      <c r="G117" s="18" t="s">
        <v>1510</v>
      </c>
      <c r="H117" s="18" t="s">
        <v>1511</v>
      </c>
      <c r="I117" s="18" t="s">
        <v>1512</v>
      </c>
      <c r="J117" s="18" t="s">
        <v>1513</v>
      </c>
      <c r="K117" s="21" t="s">
        <v>1514</v>
      </c>
      <c r="L117" s="22" t="s">
        <v>1515</v>
      </c>
      <c r="M117" s="23" t="s">
        <v>1516</v>
      </c>
      <c r="N117" s="18" t="s">
        <v>1517</v>
      </c>
      <c r="O117" s="24" t="s">
        <v>1518</v>
      </c>
      <c r="P117" s="18" t="s">
        <v>1519</v>
      </c>
      <c r="Q117" s="17" t="s">
        <v>1729</v>
      </c>
      <c r="R117" s="35">
        <v>46270</v>
      </c>
    </row>
    <row r="118" spans="1:18" ht="111.95" customHeight="1" x14ac:dyDescent="0.25">
      <c r="A118" s="18">
        <v>116</v>
      </c>
      <c r="B118" s="18" t="s">
        <v>1044</v>
      </c>
      <c r="C118" s="18" t="s">
        <v>1520</v>
      </c>
      <c r="D118" s="19" t="s">
        <v>1521</v>
      </c>
      <c r="E118" s="20" t="s">
        <v>1522</v>
      </c>
      <c r="F118" s="18" t="s">
        <v>1523</v>
      </c>
      <c r="G118" s="18" t="s">
        <v>1524</v>
      </c>
      <c r="H118" s="18" t="s">
        <v>1525</v>
      </c>
      <c r="I118" s="18" t="s">
        <v>1526</v>
      </c>
      <c r="J118" s="18" t="s">
        <v>1527</v>
      </c>
      <c r="K118" s="21" t="s">
        <v>1528</v>
      </c>
      <c r="L118" s="22" t="s">
        <v>1529</v>
      </c>
      <c r="M118" s="23" t="s">
        <v>1530</v>
      </c>
      <c r="N118" s="18" t="s">
        <v>1531</v>
      </c>
      <c r="O118" s="24" t="s">
        <v>1120</v>
      </c>
      <c r="P118" s="18" t="s">
        <v>1532</v>
      </c>
      <c r="Q118" s="17" t="s">
        <v>1729</v>
      </c>
      <c r="R118" s="35">
        <v>46270</v>
      </c>
    </row>
  </sheetData>
  <autoFilter ref="A2:R118" xr:uid="{00000000-0009-0000-0000-000001000000}"/>
  <mergeCells count="1">
    <mergeCell ref="A1:R1"/>
  </mergeCells>
  <conditionalFormatting sqref="Q3:Q118">
    <cfRule type="expression" dxfId="3" priority="1">
      <formula>LEFT(Q3,5)="Draft"</formula>
    </cfRule>
    <cfRule type="expression" dxfId="2" priority="2">
      <formula>Q3="Reviewed"</formula>
    </cfRule>
    <cfRule type="expression" dxfId="1" priority="3">
      <formula>Q3="Approved"</formula>
    </cfRule>
    <cfRule type="expression" dxfId="0" priority="4">
      <formula>Q3="Needs revision"</formula>
    </cfRule>
  </conditionalFormatting>
  <dataValidations count="1">
    <dataValidation type="list" sqref="Q3:Q118" xr:uid="{00000000-0002-0000-0100-000000000000}">
      <formula1>"Draft — user review required,Reviewed,Approved,Needs revision"</formula1>
    </dataValidation>
  </dataValidations>
  <pageMargins left="0.25" right="0.25" top="0.5" bottom="0.5" header="0.5" footer="0.5"/>
  <pageSetup fitToHeight="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34"/>
  <sheetViews>
    <sheetView showGridLines="0" workbookViewId="0">
      <pane ySplit="2" topLeftCell="A14" activePane="bottomLeft" state="frozen"/>
      <selection pane="bottomLeft" activeCell="C19" sqref="C19"/>
    </sheetView>
  </sheetViews>
  <sheetFormatPr defaultRowHeight="15" x14ac:dyDescent="0.25"/>
  <cols>
    <col min="1" max="1" width="12" customWidth="1"/>
    <col min="2" max="2" width="21" customWidth="1"/>
    <col min="3" max="3" width="15" customWidth="1"/>
    <col min="4" max="4" width="42" customWidth="1"/>
    <col min="5" max="5" width="68" customWidth="1"/>
    <col min="6" max="6" width="90" customWidth="1"/>
    <col min="7" max="7" width="15" customWidth="1"/>
  </cols>
  <sheetData>
    <row r="1" spans="1:7" ht="21" x14ac:dyDescent="0.35">
      <c r="A1" s="51" t="s">
        <v>1533</v>
      </c>
      <c r="B1" s="37"/>
      <c r="C1" s="37"/>
      <c r="D1" s="37"/>
      <c r="E1" s="37"/>
      <c r="F1" s="37"/>
      <c r="G1" s="37"/>
    </row>
    <row r="2" spans="1:7" x14ac:dyDescent="0.25">
      <c r="A2" s="25" t="s">
        <v>1534</v>
      </c>
      <c r="B2" s="25" t="s">
        <v>1535</v>
      </c>
      <c r="C2" s="25" t="s">
        <v>1536</v>
      </c>
      <c r="D2" s="25" t="s">
        <v>1537</v>
      </c>
      <c r="E2" s="25" t="s">
        <v>1538</v>
      </c>
      <c r="F2" s="25" t="s">
        <v>1539</v>
      </c>
      <c r="G2" s="25" t="s">
        <v>1540</v>
      </c>
    </row>
    <row r="3" spans="1:7" ht="48" customHeight="1" x14ac:dyDescent="0.25">
      <c r="A3" s="26" t="s">
        <v>1541</v>
      </c>
      <c r="B3" s="26" t="s">
        <v>1542</v>
      </c>
      <c r="C3" s="26" t="s">
        <v>1543</v>
      </c>
      <c r="D3" s="26" t="s">
        <v>1544</v>
      </c>
      <c r="E3" s="26" t="s">
        <v>1545</v>
      </c>
      <c r="F3" s="27" t="s">
        <v>37</v>
      </c>
      <c r="G3" s="26" t="s">
        <v>1546</v>
      </c>
    </row>
    <row r="4" spans="1:7" ht="48" customHeight="1" x14ac:dyDescent="0.25">
      <c r="A4" s="26" t="s">
        <v>1547</v>
      </c>
      <c r="B4" s="26" t="s">
        <v>1548</v>
      </c>
      <c r="C4" s="26" t="s">
        <v>1543</v>
      </c>
      <c r="D4" s="26" t="s">
        <v>1549</v>
      </c>
      <c r="E4" s="26" t="s">
        <v>1550</v>
      </c>
      <c r="F4" s="27" t="s">
        <v>39</v>
      </c>
      <c r="G4" s="26" t="s">
        <v>1546</v>
      </c>
    </row>
    <row r="5" spans="1:7" ht="48" customHeight="1" x14ac:dyDescent="0.25">
      <c r="A5" s="2" t="s">
        <v>1551</v>
      </c>
      <c r="B5" s="2" t="s">
        <v>1552</v>
      </c>
      <c r="C5" s="2" t="s">
        <v>1553</v>
      </c>
      <c r="D5" s="2" t="s">
        <v>1554</v>
      </c>
      <c r="E5" s="2" t="s">
        <v>1555</v>
      </c>
      <c r="F5" s="28" t="s">
        <v>41</v>
      </c>
      <c r="G5" s="2" t="s">
        <v>1546</v>
      </c>
    </row>
    <row r="6" spans="1:7" ht="48" customHeight="1" x14ac:dyDescent="0.25">
      <c r="A6" s="2" t="s">
        <v>1556</v>
      </c>
      <c r="B6" s="2" t="s">
        <v>1552</v>
      </c>
      <c r="C6" s="2" t="s">
        <v>1553</v>
      </c>
      <c r="D6" s="2" t="s">
        <v>1557</v>
      </c>
      <c r="E6" s="2" t="s">
        <v>1558</v>
      </c>
      <c r="F6" s="28" t="s">
        <v>1559</v>
      </c>
      <c r="G6" s="2" t="s">
        <v>1546</v>
      </c>
    </row>
    <row r="7" spans="1:7" ht="48" customHeight="1" x14ac:dyDescent="0.25">
      <c r="A7" s="2" t="s">
        <v>1560</v>
      </c>
      <c r="B7" s="2" t="s">
        <v>1552</v>
      </c>
      <c r="C7" s="2" t="s">
        <v>1553</v>
      </c>
      <c r="D7" s="2" t="s">
        <v>1561</v>
      </c>
      <c r="E7" s="2" t="s">
        <v>1562</v>
      </c>
      <c r="F7" s="28" t="s">
        <v>1563</v>
      </c>
      <c r="G7" s="2" t="s">
        <v>1546</v>
      </c>
    </row>
    <row r="8" spans="1:7" ht="48" customHeight="1" x14ac:dyDescent="0.25">
      <c r="A8" s="2" t="s">
        <v>1564</v>
      </c>
      <c r="B8" s="2" t="s">
        <v>1552</v>
      </c>
      <c r="C8" s="2" t="s">
        <v>1553</v>
      </c>
      <c r="D8" s="2" t="s">
        <v>1565</v>
      </c>
      <c r="E8" s="2" t="s">
        <v>1566</v>
      </c>
      <c r="F8" s="28" t="s">
        <v>1567</v>
      </c>
      <c r="G8" s="2" t="s">
        <v>1546</v>
      </c>
    </row>
    <row r="9" spans="1:7" ht="48" customHeight="1" x14ac:dyDescent="0.25">
      <c r="A9" s="2" t="s">
        <v>1568</v>
      </c>
      <c r="B9" s="2" t="s">
        <v>1552</v>
      </c>
      <c r="C9" s="2" t="s">
        <v>1553</v>
      </c>
      <c r="D9" s="2" t="s">
        <v>1569</v>
      </c>
      <c r="E9" s="2" t="s">
        <v>1570</v>
      </c>
      <c r="F9" s="28" t="s">
        <v>1571</v>
      </c>
      <c r="G9" s="2" t="s">
        <v>1546</v>
      </c>
    </row>
    <row r="10" spans="1:7" ht="48" customHeight="1" x14ac:dyDescent="0.25">
      <c r="A10" s="2" t="s">
        <v>1572</v>
      </c>
      <c r="B10" s="2" t="s">
        <v>1552</v>
      </c>
      <c r="C10" s="2" t="s">
        <v>1553</v>
      </c>
      <c r="D10" s="2" t="s">
        <v>1095</v>
      </c>
      <c r="E10" s="2" t="s">
        <v>1573</v>
      </c>
      <c r="F10" s="28" t="s">
        <v>1574</v>
      </c>
      <c r="G10" s="2" t="s">
        <v>1546</v>
      </c>
    </row>
    <row r="11" spans="1:7" ht="48" customHeight="1" x14ac:dyDescent="0.25">
      <c r="A11" s="2" t="s">
        <v>1575</v>
      </c>
      <c r="B11" s="2" t="s">
        <v>1576</v>
      </c>
      <c r="C11" s="2" t="s">
        <v>1553</v>
      </c>
      <c r="D11" s="2" t="s">
        <v>1577</v>
      </c>
      <c r="E11" s="2" t="s">
        <v>1578</v>
      </c>
      <c r="F11" s="28" t="s">
        <v>1579</v>
      </c>
      <c r="G11" s="2" t="s">
        <v>1546</v>
      </c>
    </row>
    <row r="12" spans="1:7" ht="48" customHeight="1" x14ac:dyDescent="0.25">
      <c r="A12" s="2" t="s">
        <v>1580</v>
      </c>
      <c r="B12" s="2" t="s">
        <v>1552</v>
      </c>
      <c r="C12" s="2" t="s">
        <v>1553</v>
      </c>
      <c r="D12" s="2" t="s">
        <v>1581</v>
      </c>
      <c r="E12" s="2" t="s">
        <v>1582</v>
      </c>
      <c r="F12" s="28" t="s">
        <v>1583</v>
      </c>
      <c r="G12" s="2" t="s">
        <v>1546</v>
      </c>
    </row>
    <row r="13" spans="1:7" ht="48" customHeight="1" x14ac:dyDescent="0.25">
      <c r="A13" s="2" t="s">
        <v>1584</v>
      </c>
      <c r="B13" s="2" t="s">
        <v>1552</v>
      </c>
      <c r="C13" s="2" t="s">
        <v>1553</v>
      </c>
      <c r="D13" s="2" t="s">
        <v>1585</v>
      </c>
      <c r="E13" s="2" t="s">
        <v>1586</v>
      </c>
      <c r="F13" s="28" t="s">
        <v>1587</v>
      </c>
      <c r="G13" s="2" t="s">
        <v>1546</v>
      </c>
    </row>
    <row r="14" spans="1:7" ht="48" customHeight="1" x14ac:dyDescent="0.25">
      <c r="A14" s="2" t="s">
        <v>1588</v>
      </c>
      <c r="B14" s="2" t="s">
        <v>1552</v>
      </c>
      <c r="C14" s="2" t="s">
        <v>1553</v>
      </c>
      <c r="D14" s="2" t="s">
        <v>1589</v>
      </c>
      <c r="E14" s="2" t="s">
        <v>1590</v>
      </c>
      <c r="F14" s="28" t="s">
        <v>1591</v>
      </c>
      <c r="G14" s="2" t="s">
        <v>1546</v>
      </c>
    </row>
    <row r="15" spans="1:7" ht="48" customHeight="1" x14ac:dyDescent="0.25">
      <c r="A15" s="2" t="s">
        <v>1592</v>
      </c>
      <c r="B15" s="2" t="s">
        <v>1552</v>
      </c>
      <c r="C15" s="2" t="s">
        <v>1553</v>
      </c>
      <c r="D15" s="2" t="s">
        <v>1593</v>
      </c>
      <c r="E15" s="2" t="s">
        <v>1594</v>
      </c>
      <c r="F15" s="28" t="s">
        <v>1595</v>
      </c>
      <c r="G15" s="2" t="s">
        <v>1546</v>
      </c>
    </row>
    <row r="16" spans="1:7" ht="48" customHeight="1" x14ac:dyDescent="0.25">
      <c r="A16" s="2" t="s">
        <v>1596</v>
      </c>
      <c r="B16" s="2" t="s">
        <v>1552</v>
      </c>
      <c r="C16" s="2" t="s">
        <v>1553</v>
      </c>
      <c r="D16" s="2" t="s">
        <v>588</v>
      </c>
      <c r="E16" s="2" t="s">
        <v>1597</v>
      </c>
      <c r="F16" s="28" t="s">
        <v>1598</v>
      </c>
      <c r="G16" s="2" t="s">
        <v>1546</v>
      </c>
    </row>
    <row r="17" spans="1:7" ht="48" customHeight="1" x14ac:dyDescent="0.25">
      <c r="A17" s="2" t="s">
        <v>1599</v>
      </c>
      <c r="B17" s="2" t="s">
        <v>1552</v>
      </c>
      <c r="C17" s="2" t="s">
        <v>1553</v>
      </c>
      <c r="D17" s="2" t="s">
        <v>1600</v>
      </c>
      <c r="E17" s="2" t="s">
        <v>1601</v>
      </c>
      <c r="F17" s="28" t="s">
        <v>1602</v>
      </c>
      <c r="G17" s="2" t="s">
        <v>1546</v>
      </c>
    </row>
    <row r="18" spans="1:7" ht="48" customHeight="1" x14ac:dyDescent="0.25">
      <c r="A18" s="2" t="s">
        <v>1603</v>
      </c>
      <c r="B18" s="2" t="s">
        <v>1552</v>
      </c>
      <c r="C18" s="2" t="s">
        <v>1553</v>
      </c>
      <c r="D18" s="2" t="s">
        <v>1604</v>
      </c>
      <c r="E18" s="2" t="s">
        <v>1605</v>
      </c>
      <c r="F18" s="28" t="s">
        <v>1606</v>
      </c>
      <c r="G18" s="2" t="s">
        <v>1546</v>
      </c>
    </row>
    <row r="19" spans="1:7" ht="48" customHeight="1" x14ac:dyDescent="0.25">
      <c r="A19" s="2" t="s">
        <v>1607</v>
      </c>
      <c r="B19" s="2" t="s">
        <v>1552</v>
      </c>
      <c r="C19" s="2" t="s">
        <v>1553</v>
      </c>
      <c r="D19" s="2" t="s">
        <v>1608</v>
      </c>
      <c r="E19" s="2" t="s">
        <v>1609</v>
      </c>
      <c r="F19" s="28" t="s">
        <v>1610</v>
      </c>
      <c r="G19" s="2" t="s">
        <v>1546</v>
      </c>
    </row>
    <row r="20" spans="1:7" ht="48" customHeight="1" x14ac:dyDescent="0.25">
      <c r="A20" s="2" t="s">
        <v>1611</v>
      </c>
      <c r="B20" s="2" t="s">
        <v>1552</v>
      </c>
      <c r="C20" s="2" t="s">
        <v>1553</v>
      </c>
      <c r="D20" s="2" t="s">
        <v>1612</v>
      </c>
      <c r="E20" s="2" t="s">
        <v>1613</v>
      </c>
      <c r="F20" s="28" t="s">
        <v>1614</v>
      </c>
      <c r="G20" s="2" t="s">
        <v>1546</v>
      </c>
    </row>
    <row r="21" spans="1:7" ht="48" customHeight="1" x14ac:dyDescent="0.25">
      <c r="A21" s="2" t="s">
        <v>1615</v>
      </c>
      <c r="B21" s="2" t="s">
        <v>1552</v>
      </c>
      <c r="C21" s="2" t="s">
        <v>1553</v>
      </c>
      <c r="D21" s="2" t="s">
        <v>1616</v>
      </c>
      <c r="E21" s="2" t="s">
        <v>1617</v>
      </c>
      <c r="F21" s="28" t="s">
        <v>1618</v>
      </c>
      <c r="G21" s="2" t="s">
        <v>1546</v>
      </c>
    </row>
    <row r="22" spans="1:7" ht="48" customHeight="1" x14ac:dyDescent="0.25">
      <c r="A22" s="2" t="s">
        <v>1619</v>
      </c>
      <c r="B22" s="2" t="s">
        <v>1552</v>
      </c>
      <c r="C22" s="2" t="s">
        <v>1553</v>
      </c>
      <c r="D22" s="2" t="s">
        <v>1620</v>
      </c>
      <c r="E22" s="2" t="s">
        <v>1621</v>
      </c>
      <c r="F22" s="28" t="s">
        <v>1622</v>
      </c>
      <c r="G22" s="2" t="s">
        <v>1546</v>
      </c>
    </row>
    <row r="23" spans="1:7" ht="48" customHeight="1" x14ac:dyDescent="0.25">
      <c r="A23" s="2" t="s">
        <v>1623</v>
      </c>
      <c r="B23" s="2" t="s">
        <v>1552</v>
      </c>
      <c r="C23" s="2" t="s">
        <v>1553</v>
      </c>
      <c r="D23" s="2" t="s">
        <v>1624</v>
      </c>
      <c r="E23" s="2" t="s">
        <v>1625</v>
      </c>
      <c r="F23" s="28" t="s">
        <v>1626</v>
      </c>
      <c r="G23" s="2" t="s">
        <v>1546</v>
      </c>
    </row>
    <row r="24" spans="1:7" ht="48" customHeight="1" x14ac:dyDescent="0.25">
      <c r="A24" s="2" t="s">
        <v>1627</v>
      </c>
      <c r="B24" s="2" t="s">
        <v>1552</v>
      </c>
      <c r="C24" s="2" t="s">
        <v>1553</v>
      </c>
      <c r="D24" s="2" t="s">
        <v>1628</v>
      </c>
      <c r="E24" s="2" t="s">
        <v>1629</v>
      </c>
      <c r="F24" s="28" t="s">
        <v>1630</v>
      </c>
      <c r="G24" s="2" t="s">
        <v>1546</v>
      </c>
    </row>
    <row r="25" spans="1:7" ht="48" customHeight="1" x14ac:dyDescent="0.25">
      <c r="A25" s="2" t="s">
        <v>1631</v>
      </c>
      <c r="B25" s="2" t="s">
        <v>1552</v>
      </c>
      <c r="C25" s="2" t="s">
        <v>1553</v>
      </c>
      <c r="D25" s="2" t="s">
        <v>1632</v>
      </c>
      <c r="E25" s="2" t="s">
        <v>1633</v>
      </c>
      <c r="F25" s="28" t="s">
        <v>1634</v>
      </c>
      <c r="G25" s="2" t="s">
        <v>1546</v>
      </c>
    </row>
    <row r="26" spans="1:7" ht="48" customHeight="1" x14ac:dyDescent="0.25">
      <c r="A26" s="2" t="s">
        <v>1635</v>
      </c>
      <c r="B26" s="2" t="s">
        <v>1552</v>
      </c>
      <c r="C26" s="2" t="s">
        <v>1553</v>
      </c>
      <c r="D26" s="2" t="s">
        <v>1636</v>
      </c>
      <c r="E26" s="2" t="s">
        <v>1637</v>
      </c>
      <c r="F26" s="28" t="s">
        <v>1638</v>
      </c>
      <c r="G26" s="2" t="s">
        <v>1546</v>
      </c>
    </row>
    <row r="27" spans="1:7" ht="48" customHeight="1" x14ac:dyDescent="0.25">
      <c r="A27" s="2" t="s">
        <v>1639</v>
      </c>
      <c r="B27" s="2" t="s">
        <v>1552</v>
      </c>
      <c r="C27" s="2" t="s">
        <v>1553</v>
      </c>
      <c r="D27" s="2" t="s">
        <v>1640</v>
      </c>
      <c r="E27" s="2" t="s">
        <v>1641</v>
      </c>
      <c r="F27" s="28" t="s">
        <v>1642</v>
      </c>
      <c r="G27" s="2" t="s">
        <v>1546</v>
      </c>
    </row>
    <row r="28" spans="1:7" ht="48" customHeight="1" x14ac:dyDescent="0.25">
      <c r="A28" s="2" t="s">
        <v>1643</v>
      </c>
      <c r="B28" s="2" t="s">
        <v>1552</v>
      </c>
      <c r="C28" s="2" t="s">
        <v>1553</v>
      </c>
      <c r="D28" s="2" t="s">
        <v>1644</v>
      </c>
      <c r="E28" s="2" t="s">
        <v>1645</v>
      </c>
      <c r="F28" s="28" t="s">
        <v>1646</v>
      </c>
      <c r="G28" s="2" t="s">
        <v>1546</v>
      </c>
    </row>
    <row r="29" spans="1:7" ht="48" customHeight="1" x14ac:dyDescent="0.25">
      <c r="A29" s="2" t="s">
        <v>1647</v>
      </c>
      <c r="B29" s="2" t="s">
        <v>1552</v>
      </c>
      <c r="C29" s="2" t="s">
        <v>1553</v>
      </c>
      <c r="D29" s="2" t="s">
        <v>1648</v>
      </c>
      <c r="E29" s="2" t="s">
        <v>1649</v>
      </c>
      <c r="F29" s="28" t="s">
        <v>1650</v>
      </c>
      <c r="G29" s="2" t="s">
        <v>1546</v>
      </c>
    </row>
    <row r="30" spans="1:7" ht="48" customHeight="1" x14ac:dyDescent="0.25">
      <c r="A30" s="2" t="s">
        <v>1651</v>
      </c>
      <c r="B30" s="2" t="s">
        <v>1552</v>
      </c>
      <c r="C30" s="2" t="s">
        <v>1553</v>
      </c>
      <c r="D30" s="2" t="s">
        <v>1652</v>
      </c>
      <c r="E30" s="2" t="s">
        <v>1653</v>
      </c>
      <c r="F30" s="28" t="s">
        <v>1654</v>
      </c>
      <c r="G30" s="2" t="s">
        <v>1546</v>
      </c>
    </row>
    <row r="31" spans="1:7" ht="48" customHeight="1" x14ac:dyDescent="0.25">
      <c r="A31" s="2" t="s">
        <v>1655</v>
      </c>
      <c r="B31" s="2" t="s">
        <v>1576</v>
      </c>
      <c r="C31" s="2" t="s">
        <v>1553</v>
      </c>
      <c r="D31" s="2" t="s">
        <v>1656</v>
      </c>
      <c r="E31" s="2" t="s">
        <v>1657</v>
      </c>
      <c r="F31" s="28" t="s">
        <v>43</v>
      </c>
      <c r="G31" s="2" t="s">
        <v>1546</v>
      </c>
    </row>
    <row r="32" spans="1:7" ht="48" customHeight="1" x14ac:dyDescent="0.25">
      <c r="A32" s="2" t="s">
        <v>1658</v>
      </c>
      <c r="B32" s="2" t="s">
        <v>1576</v>
      </c>
      <c r="C32" s="2" t="s">
        <v>1553</v>
      </c>
      <c r="D32" s="2" t="s">
        <v>1659</v>
      </c>
      <c r="E32" s="2" t="s">
        <v>1660</v>
      </c>
      <c r="F32" s="28" t="s">
        <v>1661</v>
      </c>
      <c r="G32" s="2" t="s">
        <v>1546</v>
      </c>
    </row>
    <row r="33" spans="1:7" ht="48" customHeight="1" x14ac:dyDescent="0.25">
      <c r="A33" s="2" t="s">
        <v>1662</v>
      </c>
      <c r="B33" s="2" t="s">
        <v>1576</v>
      </c>
      <c r="C33" s="2" t="s">
        <v>1553</v>
      </c>
      <c r="D33" s="2" t="s">
        <v>1663</v>
      </c>
      <c r="E33" s="2" t="s">
        <v>1664</v>
      </c>
      <c r="F33" s="28" t="s">
        <v>1665</v>
      </c>
      <c r="G33" s="2" t="s">
        <v>1546</v>
      </c>
    </row>
    <row r="34" spans="1:7" ht="48" customHeight="1" x14ac:dyDescent="0.25">
      <c r="A34" s="2" t="s">
        <v>1666</v>
      </c>
      <c r="B34" s="2" t="s">
        <v>1552</v>
      </c>
      <c r="C34" s="2" t="s">
        <v>1667</v>
      </c>
      <c r="D34" s="2" t="s">
        <v>1668</v>
      </c>
      <c r="E34" s="2" t="s">
        <v>1669</v>
      </c>
      <c r="F34" s="28" t="s">
        <v>45</v>
      </c>
      <c r="G34" s="2" t="s">
        <v>1546</v>
      </c>
    </row>
  </sheetData>
  <autoFilter ref="A2:G34" xr:uid="{00000000-0009-0000-0000-000002000000}"/>
  <mergeCells count="1">
    <mergeCell ref="A1:G1"/>
  </mergeCells>
  <hyperlinks>
    <hyperlink ref="F3" r:id="rId1" xr:uid="{00000000-0004-0000-0200-000000000000}"/>
    <hyperlink ref="F4" r:id="rId2" xr:uid="{00000000-0004-0000-0200-000001000000}"/>
    <hyperlink ref="F5" r:id="rId3" xr:uid="{00000000-0004-0000-0200-000002000000}"/>
    <hyperlink ref="F6" r:id="rId4" xr:uid="{00000000-0004-0000-0200-000003000000}"/>
    <hyperlink ref="F7" r:id="rId5" xr:uid="{00000000-0004-0000-0200-000004000000}"/>
    <hyperlink ref="F8" r:id="rId6" xr:uid="{00000000-0004-0000-0200-000005000000}"/>
    <hyperlink ref="F9" r:id="rId7" xr:uid="{00000000-0004-0000-0200-000006000000}"/>
    <hyperlink ref="F10" r:id="rId8" xr:uid="{00000000-0004-0000-0200-000007000000}"/>
    <hyperlink ref="F11" r:id="rId9" xr:uid="{00000000-0004-0000-0200-000008000000}"/>
    <hyperlink ref="F12" r:id="rId10" xr:uid="{00000000-0004-0000-0200-000009000000}"/>
    <hyperlink ref="F13" r:id="rId11" xr:uid="{00000000-0004-0000-0200-00000A000000}"/>
    <hyperlink ref="F14" r:id="rId12" xr:uid="{00000000-0004-0000-0200-00000B000000}"/>
    <hyperlink ref="F15" r:id="rId13" xr:uid="{00000000-0004-0000-0200-00000C000000}"/>
    <hyperlink ref="F16" r:id="rId14" xr:uid="{00000000-0004-0000-0200-00000D000000}"/>
    <hyperlink ref="F17" r:id="rId15" xr:uid="{00000000-0004-0000-0200-00000E000000}"/>
    <hyperlink ref="F18" r:id="rId16" xr:uid="{00000000-0004-0000-0200-00000F000000}"/>
    <hyperlink ref="F19" r:id="rId17" xr:uid="{00000000-0004-0000-0200-000010000000}"/>
    <hyperlink ref="F20" r:id="rId18" xr:uid="{00000000-0004-0000-0200-000011000000}"/>
    <hyperlink ref="F21" r:id="rId19" xr:uid="{00000000-0004-0000-0200-000012000000}"/>
    <hyperlink ref="F22" r:id="rId20" xr:uid="{00000000-0004-0000-0200-000013000000}"/>
    <hyperlink ref="F23" r:id="rId21" xr:uid="{00000000-0004-0000-0200-000014000000}"/>
    <hyperlink ref="F24" r:id="rId22" xr:uid="{00000000-0004-0000-0200-000015000000}"/>
    <hyperlink ref="F25" r:id="rId23" xr:uid="{00000000-0004-0000-0200-000016000000}"/>
    <hyperlink ref="F26" r:id="rId24" xr:uid="{00000000-0004-0000-0200-000017000000}"/>
    <hyperlink ref="F27" r:id="rId25" xr:uid="{00000000-0004-0000-0200-000018000000}"/>
    <hyperlink ref="F28" r:id="rId26" xr:uid="{00000000-0004-0000-0200-000019000000}"/>
    <hyperlink ref="F29" r:id="rId27" xr:uid="{00000000-0004-0000-0200-00001A000000}"/>
    <hyperlink ref="F30" r:id="rId28" xr:uid="{00000000-0004-0000-0200-00001B000000}"/>
    <hyperlink ref="F31" r:id="rId29" xr:uid="{00000000-0004-0000-0200-00001C000000}"/>
    <hyperlink ref="F32" r:id="rId30" xr:uid="{00000000-0004-0000-0200-00001D000000}"/>
    <hyperlink ref="F33" r:id="rId31" xr:uid="{00000000-0004-0000-0200-00001E000000}"/>
    <hyperlink ref="F34" r:id="rId32" xr:uid="{00000000-0004-0000-0200-00001F000000}"/>
  </hyperlinks>
  <pageMargins left="0.25" right="0.25" top="0.5" bottom="0.5" header="0.5" footer="0.5"/>
  <pageSetup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18"/>
  <sheetViews>
    <sheetView showGridLines="0" workbookViewId="0">
      <pane ySplit="4" topLeftCell="A5" activePane="bottomLeft" state="frozen"/>
      <selection activeCell="E13" sqref="E13"/>
      <selection pane="bottomLeft" activeCell="E13" sqref="E13"/>
    </sheetView>
  </sheetViews>
  <sheetFormatPr defaultRowHeight="15" x14ac:dyDescent="0.25"/>
  <cols>
    <col min="1" max="1" width="38" customWidth="1"/>
    <col min="2" max="2" width="62" customWidth="1"/>
    <col min="3" max="3" width="18" customWidth="1"/>
    <col min="4" max="4" width="90" customWidth="1"/>
    <col min="5" max="5" width="28" customWidth="1"/>
  </cols>
  <sheetData>
    <row r="1" spans="1:5" ht="21" x14ac:dyDescent="0.35">
      <c r="A1" s="51" t="s">
        <v>1670</v>
      </c>
      <c r="B1" s="37"/>
      <c r="C1" s="37"/>
      <c r="D1" s="37"/>
      <c r="E1" s="37"/>
    </row>
    <row r="2" spans="1:5" x14ac:dyDescent="0.25">
      <c r="A2" s="52" t="s">
        <v>1671</v>
      </c>
      <c r="B2" s="37"/>
      <c r="C2" s="37"/>
      <c r="D2" s="37"/>
      <c r="E2" s="37"/>
    </row>
    <row r="4" spans="1:5" ht="30" x14ac:dyDescent="0.25">
      <c r="A4" s="25" t="s">
        <v>1672</v>
      </c>
      <c r="B4" s="25" t="s">
        <v>1673</v>
      </c>
      <c r="C4" s="25" t="s">
        <v>1674</v>
      </c>
      <c r="D4" s="25" t="s">
        <v>1675</v>
      </c>
      <c r="E4" s="25" t="s">
        <v>1676</v>
      </c>
    </row>
    <row r="5" spans="1:5" ht="92.1" customHeight="1" x14ac:dyDescent="0.25">
      <c r="A5" s="2" t="s">
        <v>1677</v>
      </c>
      <c r="B5" s="2" t="s">
        <v>401</v>
      </c>
      <c r="C5" s="2" t="s">
        <v>1678</v>
      </c>
      <c r="D5" s="7" t="s">
        <v>1679</v>
      </c>
      <c r="E5" s="5" t="s">
        <v>1680</v>
      </c>
    </row>
    <row r="6" spans="1:5" ht="92.1" customHeight="1" x14ac:dyDescent="0.25">
      <c r="A6" s="2" t="s">
        <v>1681</v>
      </c>
      <c r="B6" s="2" t="s">
        <v>415</v>
      </c>
      <c r="C6" s="2" t="s">
        <v>1682</v>
      </c>
      <c r="D6" s="7" t="s">
        <v>1683</v>
      </c>
      <c r="E6" s="5" t="s">
        <v>1680</v>
      </c>
    </row>
    <row r="7" spans="1:5" ht="92.1" customHeight="1" x14ac:dyDescent="0.25">
      <c r="A7" s="2" t="s">
        <v>1684</v>
      </c>
      <c r="B7" s="2" t="s">
        <v>428</v>
      </c>
      <c r="C7" s="2" t="s">
        <v>1685</v>
      </c>
      <c r="D7" s="7" t="s">
        <v>1686</v>
      </c>
      <c r="E7" s="5" t="s">
        <v>1680</v>
      </c>
    </row>
    <row r="8" spans="1:5" ht="92.1" customHeight="1" x14ac:dyDescent="0.25">
      <c r="A8" s="2" t="s">
        <v>1687</v>
      </c>
      <c r="B8" s="2" t="s">
        <v>439</v>
      </c>
      <c r="C8" s="2" t="s">
        <v>1688</v>
      </c>
      <c r="D8" s="7" t="s">
        <v>1689</v>
      </c>
      <c r="E8" s="5" t="s">
        <v>1680</v>
      </c>
    </row>
    <row r="9" spans="1:5" ht="92.1" customHeight="1" x14ac:dyDescent="0.25">
      <c r="A9" s="2" t="s">
        <v>1690</v>
      </c>
      <c r="B9" s="2" t="s">
        <v>1691</v>
      </c>
      <c r="C9" s="2" t="s">
        <v>1692</v>
      </c>
      <c r="D9" s="7" t="s">
        <v>1693</v>
      </c>
      <c r="E9" s="5" t="s">
        <v>1680</v>
      </c>
    </row>
    <row r="10" spans="1:5" ht="92.1" customHeight="1" x14ac:dyDescent="0.25">
      <c r="A10" s="2" t="s">
        <v>1694</v>
      </c>
      <c r="B10" s="2" t="s">
        <v>1695</v>
      </c>
      <c r="C10" s="2" t="s">
        <v>1696</v>
      </c>
      <c r="D10" s="7" t="s">
        <v>1697</v>
      </c>
      <c r="E10" s="5" t="s">
        <v>1680</v>
      </c>
    </row>
    <row r="11" spans="1:5" ht="92.1" customHeight="1" x14ac:dyDescent="0.25">
      <c r="A11" s="2" t="s">
        <v>1698</v>
      </c>
      <c r="B11" s="2" t="s">
        <v>401</v>
      </c>
      <c r="C11" s="2" t="s">
        <v>1678</v>
      </c>
      <c r="D11" s="7" t="s">
        <v>1699</v>
      </c>
      <c r="E11" s="5" t="s">
        <v>1680</v>
      </c>
    </row>
    <row r="12" spans="1:5" ht="92.1" customHeight="1" x14ac:dyDescent="0.25">
      <c r="A12" s="2" t="s">
        <v>1700</v>
      </c>
      <c r="B12" s="2" t="s">
        <v>1701</v>
      </c>
      <c r="C12" s="2" t="s">
        <v>1702</v>
      </c>
      <c r="D12" s="7" t="s">
        <v>1703</v>
      </c>
      <c r="E12" s="5" t="s">
        <v>1680</v>
      </c>
    </row>
    <row r="13" spans="1:5" ht="92.1" customHeight="1" x14ac:dyDescent="0.25">
      <c r="A13" s="2" t="s">
        <v>1704</v>
      </c>
      <c r="B13" s="2" t="s">
        <v>1705</v>
      </c>
      <c r="C13" s="2" t="s">
        <v>1706</v>
      </c>
      <c r="D13" s="7" t="s">
        <v>1707</v>
      </c>
      <c r="E13" s="5" t="s">
        <v>1680</v>
      </c>
    </row>
    <row r="14" spans="1:5" ht="92.1" customHeight="1" x14ac:dyDescent="0.25">
      <c r="A14" s="2" t="s">
        <v>1708</v>
      </c>
      <c r="B14" s="2" t="s">
        <v>1407</v>
      </c>
      <c r="C14" s="2" t="s">
        <v>1709</v>
      </c>
      <c r="D14" s="7" t="s">
        <v>1710</v>
      </c>
      <c r="E14" s="5" t="s">
        <v>1680</v>
      </c>
    </row>
    <row r="15" spans="1:5" ht="92.1" customHeight="1" x14ac:dyDescent="0.25">
      <c r="A15" s="2" t="s">
        <v>1711</v>
      </c>
      <c r="B15" s="2" t="s">
        <v>1420</v>
      </c>
      <c r="C15" s="2" t="s">
        <v>1712</v>
      </c>
      <c r="D15" s="7" t="s">
        <v>1713</v>
      </c>
      <c r="E15" s="5" t="s">
        <v>1680</v>
      </c>
    </row>
    <row r="16" spans="1:5" ht="92.1" customHeight="1" x14ac:dyDescent="0.25">
      <c r="A16" s="2" t="s">
        <v>1714</v>
      </c>
      <c r="B16" s="2" t="s">
        <v>1431</v>
      </c>
      <c r="C16" s="2" t="s">
        <v>1715</v>
      </c>
      <c r="D16" s="7" t="s">
        <v>1716</v>
      </c>
      <c r="E16" s="5" t="s">
        <v>1680</v>
      </c>
    </row>
    <row r="17" spans="1:5" ht="92.1" customHeight="1" x14ac:dyDescent="0.25">
      <c r="A17" s="2" t="s">
        <v>1717</v>
      </c>
      <c r="B17" s="2" t="s">
        <v>1718</v>
      </c>
      <c r="C17" s="2" t="s">
        <v>1719</v>
      </c>
      <c r="D17" s="7" t="s">
        <v>1720</v>
      </c>
      <c r="E17" s="5" t="s">
        <v>1680</v>
      </c>
    </row>
    <row r="18" spans="1:5" ht="155.1" customHeight="1" x14ac:dyDescent="0.25">
      <c r="A18" s="2" t="s">
        <v>1721</v>
      </c>
      <c r="B18" s="2" t="s">
        <v>1722</v>
      </c>
      <c r="C18" s="2" t="s">
        <v>1723</v>
      </c>
      <c r="D18" s="7" t="s">
        <v>1724</v>
      </c>
      <c r="E18" s="5" t="s">
        <v>1680</v>
      </c>
    </row>
  </sheetData>
  <autoFilter ref="A4:E18" xr:uid="{00000000-0009-0000-0000-000003000000}"/>
  <mergeCells count="2">
    <mergeCell ref="A2:E2"/>
    <mergeCell ref="A1:E1"/>
  </mergeCells>
  <pageMargins left="0.25" right="0.25" top="0.5" bottom="0.5" header="0.5" footer="0.5"/>
  <pageSetup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14"/>
  <sheetViews>
    <sheetView showGridLines="0" workbookViewId="0">
      <pane ySplit="3" topLeftCell="A4" activePane="bottomLeft" state="frozen"/>
      <selection activeCell="E13" sqref="E13"/>
      <selection pane="bottomLeft" activeCell="E13" sqref="E13"/>
    </sheetView>
  </sheetViews>
  <sheetFormatPr defaultRowHeight="15" x14ac:dyDescent="0.25"/>
  <cols>
    <col min="1" max="1" width="40" customWidth="1"/>
    <col min="2" max="5" width="14" customWidth="1"/>
    <col min="6" max="6" width="16" customWidth="1"/>
  </cols>
  <sheetData>
    <row r="1" spans="1:6" ht="21" x14ac:dyDescent="0.35">
      <c r="A1" s="51" t="s">
        <v>1725</v>
      </c>
      <c r="B1" s="37"/>
      <c r="C1" s="37"/>
      <c r="D1" s="37"/>
      <c r="E1" s="37"/>
      <c r="F1" s="37"/>
    </row>
    <row r="3" spans="1:6" x14ac:dyDescent="0.25">
      <c r="A3" s="29" t="s">
        <v>48</v>
      </c>
      <c r="B3" s="29" t="s">
        <v>1726</v>
      </c>
      <c r="C3" s="29" t="s">
        <v>1727</v>
      </c>
      <c r="D3" s="29" t="s">
        <v>1728</v>
      </c>
      <c r="E3" s="29" t="s">
        <v>1729</v>
      </c>
      <c r="F3" s="29" t="s">
        <v>1730</v>
      </c>
    </row>
    <row r="4" spans="1:6" x14ac:dyDescent="0.25">
      <c r="A4" s="30" t="s">
        <v>62</v>
      </c>
      <c r="B4" s="31">
        <f>COUNTIF('Guidance Cards'!$B$3:$B$118,A4)</f>
        <v>10</v>
      </c>
      <c r="C4" s="31">
        <f>COUNTIFS('Guidance Cards'!$B$3:$B$118,A4,'Guidance Cards'!$Q$3:$Q$118,"Draft*")</f>
        <v>0</v>
      </c>
      <c r="D4" s="31">
        <f>COUNTIFS('Guidance Cards'!$B$3:$B$118,A4,'Guidance Cards'!$Q$3:$Q$118,"Reviewed")</f>
        <v>0</v>
      </c>
      <c r="E4" s="31">
        <f>COUNTIFS('Guidance Cards'!$B$3:$B$118,A4,'Guidance Cards'!$Q$3:$Q$118,"Approved")</f>
        <v>10</v>
      </c>
      <c r="F4" s="31">
        <f>COUNTIFS('Guidance Cards'!$B$3:$B$118,A4,'Guidance Cards'!$Q$3:$Q$118,"Needs revision")</f>
        <v>0</v>
      </c>
    </row>
    <row r="5" spans="1:6" x14ac:dyDescent="0.25">
      <c r="A5" s="32" t="s">
        <v>196</v>
      </c>
      <c r="B5" s="33">
        <f>COUNTIF('Guidance Cards'!$B$3:$B$118,A5)</f>
        <v>14</v>
      </c>
      <c r="C5" s="33">
        <f>COUNTIFS('Guidance Cards'!$B$3:$B$118,A5,'Guidance Cards'!$Q$3:$Q$118,"Draft*")</f>
        <v>0</v>
      </c>
      <c r="D5" s="33">
        <f>COUNTIFS('Guidance Cards'!$B$3:$B$118,A5,'Guidance Cards'!$Q$3:$Q$118,"Reviewed")</f>
        <v>0</v>
      </c>
      <c r="E5" s="33">
        <f>COUNTIFS('Guidance Cards'!$B$3:$B$118,A5,'Guidance Cards'!$Q$3:$Q$118,"Approved")</f>
        <v>14</v>
      </c>
      <c r="F5" s="33">
        <f>COUNTIFS('Guidance Cards'!$B$3:$B$118,A5,'Guidance Cards'!$Q$3:$Q$118,"Needs revision")</f>
        <v>0</v>
      </c>
    </row>
    <row r="6" spans="1:6" x14ac:dyDescent="0.25">
      <c r="A6" s="32" t="s">
        <v>375</v>
      </c>
      <c r="B6" s="33">
        <f>COUNTIF('Guidance Cards'!$B$3:$B$118,A6)</f>
        <v>19</v>
      </c>
      <c r="C6" s="33">
        <f>COUNTIFS('Guidance Cards'!$B$3:$B$118,A6,'Guidance Cards'!$Q$3:$Q$118,"Draft*")</f>
        <v>0</v>
      </c>
      <c r="D6" s="33">
        <f>COUNTIFS('Guidance Cards'!$B$3:$B$118,A6,'Guidance Cards'!$Q$3:$Q$118,"Reviewed")</f>
        <v>0</v>
      </c>
      <c r="E6" s="33">
        <f>COUNTIFS('Guidance Cards'!$B$3:$B$118,A6,'Guidance Cards'!$Q$3:$Q$118,"Approved")</f>
        <v>19</v>
      </c>
      <c r="F6" s="33">
        <f>COUNTIFS('Guidance Cards'!$B$3:$B$118,A6,'Guidance Cards'!$Q$3:$Q$118,"Needs revision")</f>
        <v>0</v>
      </c>
    </row>
    <row r="7" spans="1:6" x14ac:dyDescent="0.25">
      <c r="A7" s="32" t="s">
        <v>614</v>
      </c>
      <c r="B7" s="33">
        <f>COUNTIF('Guidance Cards'!$B$3:$B$118,A7)</f>
        <v>14</v>
      </c>
      <c r="C7" s="33">
        <f>COUNTIFS('Guidance Cards'!$B$3:$B$118,A7,'Guidance Cards'!$Q$3:$Q$118,"Draft*")</f>
        <v>0</v>
      </c>
      <c r="D7" s="33">
        <f>COUNTIFS('Guidance Cards'!$B$3:$B$118,A7,'Guidance Cards'!$Q$3:$Q$118,"Reviewed")</f>
        <v>0</v>
      </c>
      <c r="E7" s="33">
        <f>COUNTIFS('Guidance Cards'!$B$3:$B$118,A7,'Guidance Cards'!$Q$3:$Q$118,"Approved")</f>
        <v>14</v>
      </c>
      <c r="F7" s="33">
        <f>COUNTIFS('Guidance Cards'!$B$3:$B$118,A7,'Guidance Cards'!$Q$3:$Q$118,"Needs revision")</f>
        <v>0</v>
      </c>
    </row>
    <row r="8" spans="1:6" x14ac:dyDescent="0.25">
      <c r="A8" s="32" t="s">
        <v>793</v>
      </c>
      <c r="B8" s="33">
        <f>COUNTIF('Guidance Cards'!$B$3:$B$118,A8)</f>
        <v>20</v>
      </c>
      <c r="C8" s="33">
        <f>COUNTIFS('Guidance Cards'!$B$3:$B$118,A8,'Guidance Cards'!$Q$3:$Q$118,"Draft*")</f>
        <v>0</v>
      </c>
      <c r="D8" s="33">
        <f>COUNTIFS('Guidance Cards'!$B$3:$B$118,A8,'Guidance Cards'!$Q$3:$Q$118,"Reviewed")</f>
        <v>0</v>
      </c>
      <c r="E8" s="33">
        <f>COUNTIFS('Guidance Cards'!$B$3:$B$118,A8,'Guidance Cards'!$Q$3:$Q$118,"Approved")</f>
        <v>20</v>
      </c>
      <c r="F8" s="33">
        <f>COUNTIFS('Guidance Cards'!$B$3:$B$118,A8,'Guidance Cards'!$Q$3:$Q$118,"Needs revision")</f>
        <v>0</v>
      </c>
    </row>
    <row r="9" spans="1:6" x14ac:dyDescent="0.25">
      <c r="A9" s="32" t="s">
        <v>1044</v>
      </c>
      <c r="B9" s="33">
        <f>COUNTIF('Guidance Cards'!$B$3:$B$118,A9)</f>
        <v>39</v>
      </c>
      <c r="C9" s="33">
        <f>COUNTIFS('Guidance Cards'!$B$3:$B$118,A9,'Guidance Cards'!$Q$3:$Q$118,"Draft*")</f>
        <v>0</v>
      </c>
      <c r="D9" s="33">
        <f>COUNTIFS('Guidance Cards'!$B$3:$B$118,A9,'Guidance Cards'!$Q$3:$Q$118,"Reviewed")</f>
        <v>0</v>
      </c>
      <c r="E9" s="33">
        <f>COUNTIFS('Guidance Cards'!$B$3:$B$118,A9,'Guidance Cards'!$Q$3:$Q$118,"Approved")</f>
        <v>39</v>
      </c>
      <c r="F9" s="33">
        <f>COUNTIFS('Guidance Cards'!$B$3:$B$118,A9,'Guidance Cards'!$Q$3:$Q$118,"Needs revision")</f>
        <v>0</v>
      </c>
    </row>
    <row r="11" spans="1:6" x14ac:dyDescent="0.25">
      <c r="A11" s="34" t="s">
        <v>1731</v>
      </c>
      <c r="B11" s="34">
        <f>SUM(B4:B9)</f>
        <v>116</v>
      </c>
      <c r="C11" s="34">
        <f>SUM(C4:C9)</f>
        <v>0</v>
      </c>
      <c r="D11" s="34">
        <f>SUM(D4:D9)</f>
        <v>0</v>
      </c>
      <c r="E11" s="34">
        <f>SUM(E4:E9)</f>
        <v>116</v>
      </c>
      <c r="F11" s="34">
        <f>SUM(F4:F9)</f>
        <v>0</v>
      </c>
    </row>
    <row r="13" spans="1:6" x14ac:dyDescent="0.25">
      <c r="A13" t="s">
        <v>1732</v>
      </c>
      <c r="B13">
        <v>14</v>
      </c>
    </row>
    <row r="14" spans="1:6" x14ac:dyDescent="0.25">
      <c r="A14" t="s">
        <v>1733</v>
      </c>
      <c r="B14" t="s">
        <v>1546</v>
      </c>
    </row>
  </sheetData>
  <mergeCells count="1">
    <mergeCell ref="A1:F1"/>
  </mergeCells>
  <pageMargins left="0.25" right="0.25" top="0.5" bottom="0.5" header="0.5" footer="0.5"/>
  <pageSetup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29"/>
  <sheetViews>
    <sheetView showGridLines="0" workbookViewId="0">
      <pane ySplit="3" topLeftCell="A24" activePane="bottomLeft" state="frozen"/>
      <selection activeCell="E13" sqref="E13"/>
      <selection pane="bottomLeft" activeCell="E13" sqref="E13"/>
    </sheetView>
  </sheetViews>
  <sheetFormatPr defaultRowHeight="15" x14ac:dyDescent="0.25"/>
  <cols>
    <col min="1" max="1" width="34" customWidth="1"/>
    <col min="2" max="2" width="24" customWidth="1"/>
    <col min="3" max="3" width="58" customWidth="1"/>
    <col min="4" max="4" width="70" customWidth="1"/>
  </cols>
  <sheetData>
    <row r="1" spans="1:4" ht="21" x14ac:dyDescent="0.35">
      <c r="A1" s="51" t="s">
        <v>1734</v>
      </c>
      <c r="B1" s="37"/>
      <c r="C1" s="37"/>
      <c r="D1" s="37"/>
    </row>
    <row r="3" spans="1:4" x14ac:dyDescent="0.25">
      <c r="A3" s="25" t="s">
        <v>1735</v>
      </c>
      <c r="B3" s="25" t="s">
        <v>1736</v>
      </c>
      <c r="C3" s="25" t="s">
        <v>1737</v>
      </c>
      <c r="D3" s="25" t="s">
        <v>1738</v>
      </c>
    </row>
    <row r="4" spans="1:4" ht="48" customHeight="1" x14ac:dyDescent="0.25">
      <c r="A4" s="26" t="s">
        <v>47</v>
      </c>
      <c r="B4" s="26" t="s">
        <v>1739</v>
      </c>
      <c r="C4" s="26" t="s">
        <v>1740</v>
      </c>
      <c r="D4" s="26" t="s">
        <v>1741</v>
      </c>
    </row>
    <row r="5" spans="1:4" ht="48" customHeight="1" x14ac:dyDescent="0.25">
      <c r="A5" s="2" t="s">
        <v>48</v>
      </c>
      <c r="B5" s="2" t="s">
        <v>1742</v>
      </c>
      <c r="C5" s="2" t="s">
        <v>1743</v>
      </c>
      <c r="D5" s="2" t="s">
        <v>1744</v>
      </c>
    </row>
    <row r="6" spans="1:4" ht="48" customHeight="1" x14ac:dyDescent="0.25">
      <c r="A6" s="2" t="s">
        <v>49</v>
      </c>
      <c r="B6" s="2" t="s">
        <v>1745</v>
      </c>
      <c r="C6" s="2" t="s">
        <v>1746</v>
      </c>
      <c r="D6" s="2" t="s">
        <v>1747</v>
      </c>
    </row>
    <row r="7" spans="1:4" ht="48" customHeight="1" x14ac:dyDescent="0.25">
      <c r="A7" s="2" t="s">
        <v>50</v>
      </c>
      <c r="B7" s="2" t="s">
        <v>1748</v>
      </c>
      <c r="C7" s="2" t="s">
        <v>1749</v>
      </c>
      <c r="D7" s="2" t="s">
        <v>1750</v>
      </c>
    </row>
    <row r="8" spans="1:4" ht="48" customHeight="1" x14ac:dyDescent="0.25">
      <c r="A8" s="2" t="s">
        <v>51</v>
      </c>
      <c r="B8" s="2" t="s">
        <v>1751</v>
      </c>
      <c r="C8" s="2" t="s">
        <v>1752</v>
      </c>
      <c r="D8" s="2" t="s">
        <v>1753</v>
      </c>
    </row>
    <row r="9" spans="1:4" ht="48" customHeight="1" x14ac:dyDescent="0.25">
      <c r="A9" s="2" t="s">
        <v>52</v>
      </c>
      <c r="B9" s="2" t="s">
        <v>1754</v>
      </c>
      <c r="C9" s="2" t="s">
        <v>1755</v>
      </c>
      <c r="D9" s="2" t="s">
        <v>1756</v>
      </c>
    </row>
    <row r="10" spans="1:4" ht="48" customHeight="1" x14ac:dyDescent="0.25">
      <c r="A10" s="2" t="s">
        <v>53</v>
      </c>
      <c r="B10" s="2" t="s">
        <v>1757</v>
      </c>
      <c r="C10" s="2" t="s">
        <v>1758</v>
      </c>
      <c r="D10" s="2" t="s">
        <v>1759</v>
      </c>
    </row>
    <row r="11" spans="1:4" ht="48" customHeight="1" x14ac:dyDescent="0.25">
      <c r="A11" s="2" t="s">
        <v>19</v>
      </c>
      <c r="B11" s="2" t="s">
        <v>1760</v>
      </c>
      <c r="C11" s="2" t="s">
        <v>1761</v>
      </c>
      <c r="D11" s="2" t="s">
        <v>1762</v>
      </c>
    </row>
    <row r="12" spans="1:4" ht="48" customHeight="1" x14ac:dyDescent="0.25">
      <c r="A12" s="2" t="s">
        <v>54</v>
      </c>
      <c r="B12" s="2" t="s">
        <v>1763</v>
      </c>
      <c r="C12" s="2" t="s">
        <v>1764</v>
      </c>
      <c r="D12" s="2" t="s">
        <v>1765</v>
      </c>
    </row>
    <row r="13" spans="1:4" ht="48" customHeight="1" x14ac:dyDescent="0.25">
      <c r="A13" s="2" t="s">
        <v>55</v>
      </c>
      <c r="B13" s="2" t="s">
        <v>1766</v>
      </c>
      <c r="C13" s="2" t="s">
        <v>1767</v>
      </c>
      <c r="D13" s="2" t="s">
        <v>1768</v>
      </c>
    </row>
    <row r="14" spans="1:4" ht="48" customHeight="1" x14ac:dyDescent="0.25">
      <c r="A14" s="2" t="s">
        <v>21</v>
      </c>
      <c r="B14" s="2" t="s">
        <v>1769</v>
      </c>
      <c r="C14" s="2" t="s">
        <v>1770</v>
      </c>
      <c r="D14" s="2" t="s">
        <v>1771</v>
      </c>
    </row>
    <row r="15" spans="1:4" ht="48" customHeight="1" x14ac:dyDescent="0.25">
      <c r="A15" s="2" t="s">
        <v>23</v>
      </c>
      <c r="B15" s="2" t="s">
        <v>1772</v>
      </c>
      <c r="C15" s="2" t="s">
        <v>1773</v>
      </c>
      <c r="D15" s="2" t="s">
        <v>1774</v>
      </c>
    </row>
    <row r="16" spans="1:4" ht="48" customHeight="1" x14ac:dyDescent="0.25">
      <c r="A16" s="2" t="s">
        <v>56</v>
      </c>
      <c r="B16" s="2" t="s">
        <v>1775</v>
      </c>
      <c r="C16" s="2" t="s">
        <v>1776</v>
      </c>
      <c r="D16" s="2" t="s">
        <v>1777</v>
      </c>
    </row>
    <row r="17" spans="1:4" ht="48" customHeight="1" x14ac:dyDescent="0.25">
      <c r="A17" s="2" t="s">
        <v>57</v>
      </c>
      <c r="B17" s="2" t="s">
        <v>1778</v>
      </c>
      <c r="C17" s="2" t="s">
        <v>1779</v>
      </c>
      <c r="D17" s="2" t="s">
        <v>1780</v>
      </c>
    </row>
    <row r="18" spans="1:4" ht="48" customHeight="1" x14ac:dyDescent="0.25">
      <c r="A18" s="2" t="s">
        <v>58</v>
      </c>
      <c r="B18" s="2" t="s">
        <v>1781</v>
      </c>
      <c r="C18" s="2" t="s">
        <v>1782</v>
      </c>
      <c r="D18" s="2" t="s">
        <v>1783</v>
      </c>
    </row>
    <row r="19" spans="1:4" ht="48" customHeight="1" x14ac:dyDescent="0.25">
      <c r="A19" s="2" t="s">
        <v>59</v>
      </c>
      <c r="B19" s="2" t="s">
        <v>1784</v>
      </c>
      <c r="C19" s="2" t="s">
        <v>1785</v>
      </c>
      <c r="D19" s="2" t="s">
        <v>1786</v>
      </c>
    </row>
    <row r="20" spans="1:4" ht="48" customHeight="1" x14ac:dyDescent="0.25">
      <c r="A20" s="2" t="s">
        <v>60</v>
      </c>
      <c r="B20" s="2" t="s">
        <v>1787</v>
      </c>
      <c r="C20" s="2" t="s">
        <v>1788</v>
      </c>
      <c r="D20" s="2" t="s">
        <v>1789</v>
      </c>
    </row>
    <row r="21" spans="1:4" ht="48" customHeight="1" x14ac:dyDescent="0.25">
      <c r="A21" s="2" t="s">
        <v>61</v>
      </c>
      <c r="B21" s="2" t="s">
        <v>1790</v>
      </c>
      <c r="C21" s="2" t="s">
        <v>1791</v>
      </c>
      <c r="D21" s="2" t="s">
        <v>1792</v>
      </c>
    </row>
    <row r="22" spans="1:4" ht="48" customHeight="1" x14ac:dyDescent="0.25">
      <c r="A22" s="2" t="s">
        <v>1793</v>
      </c>
      <c r="B22" s="2" t="s">
        <v>1794</v>
      </c>
      <c r="C22" s="2" t="s">
        <v>1795</v>
      </c>
      <c r="D22" s="2" t="s">
        <v>1796</v>
      </c>
    </row>
    <row r="23" spans="1:4" ht="48" customHeight="1" x14ac:dyDescent="0.25">
      <c r="A23" s="2" t="s">
        <v>1797</v>
      </c>
      <c r="B23" s="2" t="s">
        <v>1798</v>
      </c>
      <c r="C23" s="2" t="s">
        <v>1799</v>
      </c>
      <c r="D23" s="2" t="s">
        <v>1800</v>
      </c>
    </row>
    <row r="24" spans="1:4" ht="48" customHeight="1" x14ac:dyDescent="0.25">
      <c r="A24" s="2" t="s">
        <v>1801</v>
      </c>
      <c r="B24" s="2" t="s">
        <v>1798</v>
      </c>
      <c r="C24" s="2" t="s">
        <v>1802</v>
      </c>
      <c r="D24" s="2" t="s">
        <v>1800</v>
      </c>
    </row>
    <row r="25" spans="1:4" ht="48" customHeight="1" x14ac:dyDescent="0.25">
      <c r="A25" s="2" t="s">
        <v>1803</v>
      </c>
      <c r="B25" s="2" t="s">
        <v>1798</v>
      </c>
      <c r="C25" s="2" t="s">
        <v>1804</v>
      </c>
      <c r="D25" s="2" t="s">
        <v>1800</v>
      </c>
    </row>
    <row r="26" spans="1:4" ht="48" customHeight="1" x14ac:dyDescent="0.25">
      <c r="A26" s="2" t="s">
        <v>1805</v>
      </c>
      <c r="B26" s="2" t="s">
        <v>1806</v>
      </c>
      <c r="C26" s="2" t="s">
        <v>1807</v>
      </c>
      <c r="D26" s="2" t="s">
        <v>1800</v>
      </c>
    </row>
    <row r="27" spans="1:4" ht="48" customHeight="1" x14ac:dyDescent="0.25">
      <c r="A27" s="2" t="s">
        <v>1808</v>
      </c>
      <c r="B27" s="2" t="s">
        <v>1806</v>
      </c>
      <c r="C27" s="2" t="s">
        <v>1809</v>
      </c>
      <c r="D27" s="2" t="s">
        <v>1810</v>
      </c>
    </row>
    <row r="28" spans="1:4" ht="48" customHeight="1" x14ac:dyDescent="0.25">
      <c r="A28" s="2" t="s">
        <v>1811</v>
      </c>
      <c r="B28" s="2" t="s">
        <v>1812</v>
      </c>
      <c r="C28" s="2" t="s">
        <v>1813</v>
      </c>
      <c r="D28" s="2" t="s">
        <v>1814</v>
      </c>
    </row>
    <row r="29" spans="1:4" ht="48" customHeight="1" x14ac:dyDescent="0.25">
      <c r="A29" s="2" t="s">
        <v>1815</v>
      </c>
      <c r="B29" s="2" t="s">
        <v>1812</v>
      </c>
      <c r="C29" s="2" t="s">
        <v>1816</v>
      </c>
      <c r="D29" s="2" t="s">
        <v>1817</v>
      </c>
    </row>
  </sheetData>
  <autoFilter ref="A3:D29" xr:uid="{00000000-0009-0000-0000-000005000000}"/>
  <mergeCells count="1">
    <mergeCell ref="A1:D1"/>
  </mergeCells>
  <pageMargins left="0.25" right="0.25" top="0.5" bottom="0.5" header="0.5" footer="0.5"/>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Library Guide</vt:lpstr>
      <vt:lpstr>Guidance Cards</vt:lpstr>
      <vt:lpstr>Sources</vt:lpstr>
      <vt:lpstr>Phase 5B Map</vt:lpstr>
      <vt:lpstr>Coverage</vt:lpstr>
      <vt:lpstr>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Revenue Compass ASC 606 Master Library</dc:title>
  <dc:subject>ASC 606 Steps 1–5 and SaaS/technology special topics for AI-assisted accountant review</dc:subject>
  <dc:creator>OpenAI / Revenue Compass project</dc:creator>
  <dc:description>Original paraphrases with ASC references, interpretive sources, AI/accountant boundaries, deterministic engine behavior, and Phase 5B traceability.</dc:description>
  <cp:lastModifiedBy>Ayden  Smith</cp:lastModifiedBy>
  <dcterms:created xsi:type="dcterms:W3CDTF">2026-09-05T06:19:06Z</dcterms:created>
  <dcterms:modified xsi:type="dcterms:W3CDTF">2026-09-06T06:42:26Z</dcterms:modified>
</cp:coreProperties>
</file>